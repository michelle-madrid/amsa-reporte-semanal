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Control de Gestión\01 Reporting\09 Informe Semanal\2026\"/>
    </mc:Choice>
  </mc:AlternateContent>
  <xr:revisionPtr revIDLastSave="0" documentId="13_ncr:1_{C709DB4D-A4E8-48FF-A39B-7E86CE31A192}" xr6:coauthVersionLast="47" xr6:coauthVersionMax="47" xr10:uidLastSave="{00000000-0000-0000-0000-000000000000}"/>
  <bookViews>
    <workbookView xWindow="28680" yWindow="-120" windowWidth="29040" windowHeight="17520" tabRatio="495" firstSheet="1" activeTab="1" xr2:uid="{34D7CF42-36AA-4C05-8F32-0720A30494C1}"/>
  </bookViews>
  <sheets>
    <sheet name="calendario 2021" sheetId="1" state="hidden" r:id="rId1"/>
    <sheet name="Calendario 2026" sheetId="3" r:id="rId2"/>
    <sheet name="Programación" sheetId="2" state="hidden" r:id="rId3"/>
  </sheets>
  <definedNames>
    <definedName name="_xlnm._FilterDatabase" localSheetId="0" hidden="1">'calendario 2021'!$F$4:$N$103</definedName>
    <definedName name="_xlnm._FilterDatabase" localSheetId="1" hidden="1">'Calendario 2026'!$F$4:$O$100</definedName>
    <definedName name="_xlnm._FilterDatabase" localSheetId="2" hidden="1">Programación!$A$2:$D$55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" i="3" l="1"/>
  <c r="B7" i="3"/>
  <c r="M6" i="3" l="1"/>
  <c r="N6" i="3" s="1"/>
  <c r="O6" i="3" s="1"/>
  <c r="I7" i="3" s="1"/>
  <c r="I2" i="3" l="1"/>
  <c r="I53" i="3" s="1"/>
  <c r="J7" i="3" l="1"/>
  <c r="K7" i="3" s="1"/>
  <c r="L7" i="3" s="1"/>
  <c r="C7" i="3" l="1"/>
  <c r="S7" i="3" s="1"/>
  <c r="D7" i="3"/>
  <c r="M7" i="3"/>
  <c r="Q7" i="3" l="1"/>
  <c r="E7" i="3"/>
  <c r="B8" i="3"/>
  <c r="A8" i="3"/>
  <c r="R8" i="3" l="1"/>
  <c r="R9" i="3" s="1"/>
  <c r="R10" i="3" s="1"/>
  <c r="R15" i="3" s="1"/>
  <c r="D30" i="1"/>
  <c r="C30" i="1"/>
  <c r="A30" i="1"/>
  <c r="B30" i="1"/>
  <c r="Q31" i="1"/>
  <c r="R16" i="3" l="1"/>
  <c r="N7" i="3"/>
  <c r="O7" i="3" s="1"/>
  <c r="Q30" i="1"/>
  <c r="C14" i="1"/>
  <c r="B14" i="1"/>
  <c r="A14" i="1"/>
  <c r="R17" i="3" l="1"/>
  <c r="R18" i="3" s="1"/>
  <c r="R23" i="3" s="1"/>
  <c r="T53" i="3"/>
  <c r="F15" i="3"/>
  <c r="F16" i="3" s="1"/>
  <c r="F17" i="3" s="1"/>
  <c r="I8" i="3"/>
  <c r="J8" i="3" s="1"/>
  <c r="K8" i="3" s="1"/>
  <c r="L8" i="3" s="1"/>
  <c r="T1" i="3"/>
  <c r="T52" i="3" s="1"/>
  <c r="R24" i="3" l="1"/>
  <c r="R25" i="3" s="1"/>
  <c r="R26" i="3" s="1"/>
  <c r="D8" i="3"/>
  <c r="C8" i="3"/>
  <c r="F22" i="3"/>
  <c r="F23" i="3" s="1"/>
  <c r="F24" i="3" s="1"/>
  <c r="M8" i="3"/>
  <c r="R1" i="1"/>
  <c r="J99" i="1"/>
  <c r="K58" i="1"/>
  <c r="B39" i="1"/>
  <c r="M38" i="1"/>
  <c r="D34" i="1"/>
  <c r="F15" i="1"/>
  <c r="I21" i="1"/>
  <c r="S8" i="3" l="1"/>
  <c r="R31" i="3"/>
  <c r="R32" i="3" s="1"/>
  <c r="R33" i="3" s="1"/>
  <c r="R34" i="3" s="1"/>
  <c r="R35" i="3" s="1"/>
  <c r="Q8" i="3"/>
  <c r="B9" i="3"/>
  <c r="A9" i="3"/>
  <c r="E8" i="3"/>
  <c r="F25" i="3"/>
  <c r="N8" i="3"/>
  <c r="O8" i="3" s="1"/>
  <c r="I9" i="3" s="1"/>
  <c r="J9" i="3" s="1"/>
  <c r="K9" i="3" s="1"/>
  <c r="L9" i="3" s="1"/>
  <c r="R54" i="1"/>
  <c r="R53" i="1"/>
  <c r="R40" i="3" l="1"/>
  <c r="R41" i="3" s="1"/>
  <c r="R42" i="3" s="1"/>
  <c r="R43" i="3" s="1"/>
  <c r="R47" i="3" s="1"/>
  <c r="R48" i="3" s="1"/>
  <c r="R49" i="3" s="1"/>
  <c r="R50" i="3" s="1"/>
  <c r="D9" i="3"/>
  <c r="C9" i="3"/>
  <c r="F26" i="3"/>
  <c r="F32" i="3" s="1"/>
  <c r="F33" i="3" s="1"/>
  <c r="F34" i="3" s="1"/>
  <c r="F35" i="3" s="1"/>
  <c r="M9" i="3"/>
  <c r="I6" i="1"/>
  <c r="L6" i="1"/>
  <c r="M6" i="1" s="1"/>
  <c r="R57" i="3" l="1"/>
  <c r="R58" i="3" s="1"/>
  <c r="R59" i="3" s="1"/>
  <c r="R60" i="3" s="1"/>
  <c r="R61" i="3" s="1"/>
  <c r="R66" i="3" s="1"/>
  <c r="R67" i="3" s="1"/>
  <c r="R68" i="3" s="1"/>
  <c r="R69" i="3" s="1"/>
  <c r="R73" i="3" s="1"/>
  <c r="S9" i="3"/>
  <c r="Q9" i="3"/>
  <c r="B10" i="3"/>
  <c r="A10" i="3"/>
  <c r="F39" i="3"/>
  <c r="F40" i="3" s="1"/>
  <c r="F41" i="3" s="1"/>
  <c r="F42" i="3" s="1"/>
  <c r="N9" i="3"/>
  <c r="O9" i="3" s="1"/>
  <c r="I10" i="3" s="1"/>
  <c r="J10" i="3" s="1"/>
  <c r="K10" i="3" s="1"/>
  <c r="L10" i="3" s="1"/>
  <c r="E9" i="3"/>
  <c r="N6" i="1"/>
  <c r="H7" i="1" s="1"/>
  <c r="I7" i="1" s="1"/>
  <c r="J7" i="1" s="1"/>
  <c r="K7" i="1" s="1"/>
  <c r="D7" i="1" s="1"/>
  <c r="R74" i="3" l="1"/>
  <c r="R75" i="3" s="1"/>
  <c r="R76" i="3" s="1"/>
  <c r="R81" i="3" s="1"/>
  <c r="D10" i="3"/>
  <c r="C10" i="3"/>
  <c r="F43" i="3"/>
  <c r="F47" i="3" s="1"/>
  <c r="F48" i="3" s="1"/>
  <c r="F49" i="3" s="1"/>
  <c r="F50" i="3" s="1"/>
  <c r="M10" i="3"/>
  <c r="C7" i="1"/>
  <c r="L7" i="1"/>
  <c r="F16" i="1"/>
  <c r="F17" i="1" s="1"/>
  <c r="F21" i="1" s="1"/>
  <c r="F22" i="1" s="1"/>
  <c r="F23" i="1" s="1"/>
  <c r="F24" i="1" s="1"/>
  <c r="F30" i="1" s="1"/>
  <c r="F31" i="1" s="1"/>
  <c r="F32" i="1" s="1"/>
  <c r="F33" i="1" s="1"/>
  <c r="F34" i="1" s="1"/>
  <c r="A15" i="3" l="1"/>
  <c r="B15" i="3"/>
  <c r="R82" i="3"/>
  <c r="R83" i="3" s="1"/>
  <c r="R84" i="3" s="1"/>
  <c r="R85" i="3" s="1"/>
  <c r="R90" i="3" s="1"/>
  <c r="S10" i="3"/>
  <c r="Q10" i="3"/>
  <c r="F51" i="3"/>
  <c r="F57" i="3" s="1"/>
  <c r="F58" i="3" s="1"/>
  <c r="F59" i="3" s="1"/>
  <c r="F60" i="3" s="1"/>
  <c r="F61" i="3" s="1"/>
  <c r="F65" i="3" s="1"/>
  <c r="F66" i="3" s="1"/>
  <c r="F67" i="3" s="1"/>
  <c r="F68" i="3" s="1"/>
  <c r="E10" i="3"/>
  <c r="N10" i="3"/>
  <c r="O14" i="3" s="1"/>
  <c r="P7" i="1"/>
  <c r="C3" i="2" s="1"/>
  <c r="E7" i="1"/>
  <c r="Q7" i="1"/>
  <c r="F39" i="1"/>
  <c r="F40" i="1" s="1"/>
  <c r="F41" i="1" s="1"/>
  <c r="F42" i="1" s="1"/>
  <c r="F47" i="1" s="1"/>
  <c r="F48" i="1" s="1"/>
  <c r="F49" i="1" s="1"/>
  <c r="F50" i="1" s="1"/>
  <c r="F51" i="1" s="1"/>
  <c r="F58" i="1" s="1"/>
  <c r="F59" i="1" s="1"/>
  <c r="F60" i="1" s="1"/>
  <c r="M7" i="1"/>
  <c r="N7" i="1" s="1"/>
  <c r="H8" i="1" s="1"/>
  <c r="I8" i="1" s="1"/>
  <c r="J8" i="1" s="1"/>
  <c r="K8" i="1" s="1"/>
  <c r="D8" i="1" s="1"/>
  <c r="A8" i="1"/>
  <c r="B8" i="1"/>
  <c r="R91" i="3" l="1"/>
  <c r="R92" i="3" s="1"/>
  <c r="F73" i="3"/>
  <c r="F74" i="3" s="1"/>
  <c r="F75" i="3" s="1"/>
  <c r="F76" i="3" s="1"/>
  <c r="F69" i="3"/>
  <c r="F70" i="3" s="1"/>
  <c r="F61" i="1"/>
  <c r="F62" i="1" s="1"/>
  <c r="F66" i="1" s="1"/>
  <c r="F67" i="1" s="1"/>
  <c r="F68" i="1" s="1"/>
  <c r="F69" i="1" s="1"/>
  <c r="F70" i="1" s="1"/>
  <c r="F71" i="1" s="1"/>
  <c r="F75" i="1" s="1"/>
  <c r="F76" i="1" s="1"/>
  <c r="F77" i="1" s="1"/>
  <c r="F78" i="1" s="1"/>
  <c r="F79" i="1" s="1"/>
  <c r="F83" i="1" s="1"/>
  <c r="F84" i="1" s="1"/>
  <c r="F85" i="1" s="1"/>
  <c r="F86" i="1" s="1"/>
  <c r="F87" i="1" s="1"/>
  <c r="F91" i="1" s="1"/>
  <c r="L8" i="1"/>
  <c r="A9" i="1" s="1"/>
  <c r="C8" i="1"/>
  <c r="R93" i="3" l="1"/>
  <c r="R97" i="3" s="1"/>
  <c r="F82" i="3"/>
  <c r="F83" i="3" s="1"/>
  <c r="F84" i="3" s="1"/>
  <c r="F85" i="3" s="1"/>
  <c r="F81" i="3"/>
  <c r="E8" i="1"/>
  <c r="P8" i="1"/>
  <c r="C4" i="2" s="1"/>
  <c r="Q8" i="1"/>
  <c r="F92" i="1"/>
  <c r="F93" i="1" s="1"/>
  <c r="F94" i="1" s="1"/>
  <c r="F95" i="1" s="1"/>
  <c r="F99" i="1" s="1"/>
  <c r="F100" i="1" s="1"/>
  <c r="F101" i="1" s="1"/>
  <c r="F102" i="1" s="1"/>
  <c r="F103" i="1" s="1"/>
  <c r="M8" i="1"/>
  <c r="N8" i="1" s="1"/>
  <c r="H9" i="1" s="1"/>
  <c r="I9" i="1" s="1"/>
  <c r="J9" i="1" s="1"/>
  <c r="K9" i="1" s="1"/>
  <c r="D9" i="1" s="1"/>
  <c r="B9" i="1"/>
  <c r="R98" i="3" l="1"/>
  <c r="R99" i="3" s="1"/>
  <c r="R100" i="3" s="1"/>
  <c r="R101" i="3" s="1"/>
  <c r="F89" i="3"/>
  <c r="F90" i="3" s="1"/>
  <c r="F91" i="3" s="1"/>
  <c r="F92" i="3" s="1"/>
  <c r="L9" i="1"/>
  <c r="C9" i="1"/>
  <c r="F97" i="3" l="1"/>
  <c r="F98" i="3" s="1"/>
  <c r="F99" i="3" s="1"/>
  <c r="F100" i="3" s="1"/>
  <c r="F93" i="3"/>
  <c r="F94" i="3" s="1"/>
  <c r="P9" i="1"/>
  <c r="C5" i="2" s="1"/>
  <c r="Q9" i="1"/>
  <c r="E9" i="1"/>
  <c r="M9" i="1"/>
  <c r="N9" i="1" s="1"/>
  <c r="H10" i="1" s="1"/>
  <c r="I10" i="1" s="1"/>
  <c r="J10" i="1" s="1"/>
  <c r="K10" i="1" s="1"/>
  <c r="A10" i="1"/>
  <c r="B10" i="1"/>
  <c r="L10" i="1" l="1"/>
  <c r="D10" i="1"/>
  <c r="C10" i="1"/>
  <c r="P10" i="1" s="1"/>
  <c r="C6" i="2" s="1"/>
  <c r="I15" i="3" l="1"/>
  <c r="J15" i="3" s="1"/>
  <c r="K15" i="3" s="1"/>
  <c r="L15" i="3" s="1"/>
  <c r="Q10" i="1"/>
  <c r="M10" i="1"/>
  <c r="N10" i="1" s="1"/>
  <c r="H14" i="1" s="1"/>
  <c r="E10" i="1"/>
  <c r="I14" i="1"/>
  <c r="J14" i="1" s="1"/>
  <c r="K14" i="1" s="1"/>
  <c r="D15" i="3" l="1"/>
  <c r="C15" i="3"/>
  <c r="E15" i="3" s="1"/>
  <c r="M15" i="3"/>
  <c r="N15" i="3" s="1"/>
  <c r="O15" i="3" s="1"/>
  <c r="I16" i="3" s="1"/>
  <c r="J16" i="3" s="1"/>
  <c r="K16" i="3" s="1"/>
  <c r="L16" i="3" s="1"/>
  <c r="D14" i="1"/>
  <c r="P14" i="1"/>
  <c r="C7" i="2" s="1"/>
  <c r="L14" i="1"/>
  <c r="S15" i="3" l="1"/>
  <c r="Q15" i="3"/>
  <c r="M16" i="3"/>
  <c r="N16" i="3" s="1"/>
  <c r="O16" i="3" s="1"/>
  <c r="I17" i="3" s="1"/>
  <c r="J17" i="3" s="1"/>
  <c r="K17" i="3" s="1"/>
  <c r="L17" i="3" s="1"/>
  <c r="C16" i="3"/>
  <c r="D16" i="3"/>
  <c r="A16" i="3"/>
  <c r="B16" i="3"/>
  <c r="B15" i="1"/>
  <c r="A15" i="1"/>
  <c r="Q14" i="1"/>
  <c r="E14" i="1"/>
  <c r="M14" i="1"/>
  <c r="N14" i="1" s="1"/>
  <c r="H15" i="1" s="1"/>
  <c r="I15" i="1" s="1"/>
  <c r="J15" i="1" s="1"/>
  <c r="K15" i="1" s="1"/>
  <c r="E16" i="3" l="1"/>
  <c r="S16" i="3"/>
  <c r="Q16" i="3"/>
  <c r="C17" i="3"/>
  <c r="D17" i="3"/>
  <c r="A17" i="3"/>
  <c r="B17" i="3"/>
  <c r="M17" i="3"/>
  <c r="D15" i="1"/>
  <c r="P15" i="1" s="1"/>
  <c r="C8" i="2" s="1"/>
  <c r="C15" i="1"/>
  <c r="E15" i="1"/>
  <c r="L15" i="1"/>
  <c r="E17" i="3" l="1"/>
  <c r="Q17" i="3"/>
  <c r="S17" i="3"/>
  <c r="A18" i="3"/>
  <c r="B18" i="3"/>
  <c r="N17" i="3"/>
  <c r="O17" i="3" s="1"/>
  <c r="I18" i="3" s="1"/>
  <c r="J18" i="3" s="1"/>
  <c r="A16" i="1"/>
  <c r="B16" i="1"/>
  <c r="Q15" i="1"/>
  <c r="M15" i="1"/>
  <c r="N15" i="1" s="1"/>
  <c r="H16" i="1" s="1"/>
  <c r="I16" i="1" s="1"/>
  <c r="J16" i="1" s="1"/>
  <c r="K16" i="1" s="1"/>
  <c r="K22" i="3" l="1"/>
  <c r="K18" i="3"/>
  <c r="L18" i="3" s="1"/>
  <c r="D16" i="1"/>
  <c r="C16" i="1"/>
  <c r="P16" i="1" s="1"/>
  <c r="C9" i="2" s="1"/>
  <c r="L16" i="1"/>
  <c r="C18" i="3" l="1"/>
  <c r="D18" i="3"/>
  <c r="M18" i="3"/>
  <c r="N18" i="3" s="1"/>
  <c r="O22" i="3" s="1"/>
  <c r="E16" i="1"/>
  <c r="Q16" i="1"/>
  <c r="A17" i="1"/>
  <c r="B17" i="1"/>
  <c r="M16" i="1"/>
  <c r="N16" i="1" s="1"/>
  <c r="H17" i="1" s="1"/>
  <c r="I17" i="1" s="1"/>
  <c r="J17" i="1" s="1"/>
  <c r="K17" i="1" s="1"/>
  <c r="E18" i="3" l="1"/>
  <c r="S18" i="3"/>
  <c r="Q18" i="3"/>
  <c r="I23" i="3"/>
  <c r="J23" i="3" s="1"/>
  <c r="K23" i="3" s="1"/>
  <c r="L23" i="3" s="1"/>
  <c r="A23" i="3"/>
  <c r="B23" i="3"/>
  <c r="C17" i="1"/>
  <c r="Q17" i="1" s="1"/>
  <c r="D17" i="1"/>
  <c r="L17" i="1"/>
  <c r="M23" i="3" l="1"/>
  <c r="B24" i="3" s="1"/>
  <c r="D23" i="3"/>
  <c r="C23" i="3"/>
  <c r="E17" i="1"/>
  <c r="B21" i="1"/>
  <c r="A21" i="1"/>
  <c r="P17" i="1"/>
  <c r="C10" i="2" s="1"/>
  <c r="M17" i="1"/>
  <c r="N17" i="1" s="1"/>
  <c r="E23" i="3" l="1"/>
  <c r="N23" i="3"/>
  <c r="O23" i="3" s="1"/>
  <c r="I24" i="3" s="1"/>
  <c r="J24" i="3" s="1"/>
  <c r="K24" i="3" s="1"/>
  <c r="L24" i="3" s="1"/>
  <c r="M24" i="3" s="1"/>
  <c r="Q23" i="3"/>
  <c r="A24" i="3"/>
  <c r="S23" i="3"/>
  <c r="J21" i="1"/>
  <c r="K21" i="1" s="1"/>
  <c r="C24" i="3" l="1"/>
  <c r="D24" i="3"/>
  <c r="B25" i="3"/>
  <c r="A25" i="3"/>
  <c r="N24" i="3"/>
  <c r="O24" i="3" s="1"/>
  <c r="I25" i="3" s="1"/>
  <c r="J25" i="3" s="1"/>
  <c r="K25" i="3" s="1"/>
  <c r="L25" i="3" s="1"/>
  <c r="C21" i="1"/>
  <c r="D21" i="1"/>
  <c r="L21" i="1"/>
  <c r="Q24" i="3" l="1"/>
  <c r="E24" i="3"/>
  <c r="S24" i="3"/>
  <c r="C25" i="3"/>
  <c r="D25" i="3"/>
  <c r="M25" i="3"/>
  <c r="P21" i="1"/>
  <c r="Q21" i="1"/>
  <c r="E21" i="1"/>
  <c r="M21" i="1"/>
  <c r="N21" i="1" s="1"/>
  <c r="H22" i="1" s="1"/>
  <c r="I22" i="1" s="1"/>
  <c r="J22" i="1" s="1"/>
  <c r="K22" i="1" s="1"/>
  <c r="L22" i="1" s="1"/>
  <c r="B22" i="1"/>
  <c r="A22" i="1"/>
  <c r="S25" i="3" l="1"/>
  <c r="Q25" i="3"/>
  <c r="B26" i="3"/>
  <c r="A26" i="3"/>
  <c r="N25" i="3"/>
  <c r="O25" i="3" s="1"/>
  <c r="I26" i="3" s="1"/>
  <c r="J26" i="3" s="1"/>
  <c r="K26" i="3" s="1"/>
  <c r="E25" i="3"/>
  <c r="A23" i="1"/>
  <c r="B23" i="1"/>
  <c r="D22" i="1"/>
  <c r="C22" i="1"/>
  <c r="P22" i="1" s="1"/>
  <c r="M22" i="1"/>
  <c r="N22" i="1" s="1"/>
  <c r="H23" i="1" s="1"/>
  <c r="I23" i="1" s="1"/>
  <c r="J23" i="1" s="1"/>
  <c r="K23" i="1" s="1"/>
  <c r="L26" i="3" l="1"/>
  <c r="Q22" i="1"/>
  <c r="E22" i="1"/>
  <c r="D23" i="1"/>
  <c r="C23" i="1"/>
  <c r="P23" i="1" s="1"/>
  <c r="L23" i="1"/>
  <c r="D26" i="3" l="1"/>
  <c r="M26" i="3"/>
  <c r="C26" i="3"/>
  <c r="Q23" i="1"/>
  <c r="A24" i="1"/>
  <c r="B24" i="1"/>
  <c r="E23" i="1"/>
  <c r="M23" i="1"/>
  <c r="N23" i="1" s="1"/>
  <c r="H24" i="1" s="1"/>
  <c r="I24" i="1" s="1"/>
  <c r="J24" i="1" s="1"/>
  <c r="K24" i="1" s="1"/>
  <c r="S26" i="3" l="1"/>
  <c r="N26" i="3"/>
  <c r="O26" i="3" s="1"/>
  <c r="B31" i="3"/>
  <c r="E26" i="3"/>
  <c r="Q26" i="3"/>
  <c r="A31" i="3"/>
  <c r="C24" i="1"/>
  <c r="D24" i="1"/>
  <c r="L24" i="1"/>
  <c r="I27" i="3" l="1"/>
  <c r="J27" i="3" s="1"/>
  <c r="K31" i="3" s="1"/>
  <c r="D31" i="3" s="1"/>
  <c r="P24" i="1"/>
  <c r="E24" i="1"/>
  <c r="Q24" i="1"/>
  <c r="M24" i="1"/>
  <c r="N24" i="1" s="1"/>
  <c r="H25" i="1" s="1"/>
  <c r="I25" i="1" s="1"/>
  <c r="J25" i="1" s="1"/>
  <c r="L31" i="3" l="1"/>
  <c r="K30" i="1"/>
  <c r="L30" i="1" s="1"/>
  <c r="C11" i="2"/>
  <c r="E30" i="1"/>
  <c r="C31" i="3" l="1"/>
  <c r="S31" i="3" s="1"/>
  <c r="M31" i="3"/>
  <c r="B32" i="3"/>
  <c r="A32" i="3"/>
  <c r="Q31" i="3"/>
  <c r="E31" i="3"/>
  <c r="N31" i="3"/>
  <c r="O31" i="3" s="1"/>
  <c r="I32" i="3" s="1"/>
  <c r="J32" i="3" s="1"/>
  <c r="K32" i="3" s="1"/>
  <c r="L32" i="3" s="1"/>
  <c r="P30" i="1"/>
  <c r="B31" i="1"/>
  <c r="A31" i="1"/>
  <c r="M30" i="1"/>
  <c r="N30" i="1" s="1"/>
  <c r="H31" i="1" s="1"/>
  <c r="I31" i="1" s="1"/>
  <c r="J31" i="1" s="1"/>
  <c r="D32" i="3" l="1"/>
  <c r="M32" i="3"/>
  <c r="A33" i="3" s="1"/>
  <c r="C32" i="3"/>
  <c r="K31" i="1"/>
  <c r="Q32" i="3" l="1"/>
  <c r="B33" i="3"/>
  <c r="N32" i="3"/>
  <c r="O32" i="3" s="1"/>
  <c r="I33" i="3" s="1"/>
  <c r="J33" i="3" s="1"/>
  <c r="K33" i="3" s="1"/>
  <c r="D31" i="1"/>
  <c r="C31" i="1"/>
  <c r="P31" i="1" s="1"/>
  <c r="C16" i="2" s="1"/>
  <c r="L31" i="1"/>
  <c r="B32" i="1" s="1"/>
  <c r="L33" i="3" l="1"/>
  <c r="D33" i="3" s="1"/>
  <c r="S32" i="3"/>
  <c r="E32" i="3"/>
  <c r="E31" i="1"/>
  <c r="M31" i="1"/>
  <c r="N31" i="1" s="1"/>
  <c r="H32" i="1" s="1"/>
  <c r="I32" i="1" s="1"/>
  <c r="J32" i="1" s="1"/>
  <c r="K32" i="1" s="1"/>
  <c r="D32" i="1" s="1"/>
  <c r="A32" i="1"/>
  <c r="L32" i="1"/>
  <c r="C32" i="1"/>
  <c r="P32" i="1" s="1"/>
  <c r="C33" i="3" l="1"/>
  <c r="Q33" i="3" s="1"/>
  <c r="M33" i="3"/>
  <c r="C17" i="2"/>
  <c r="C12" i="2"/>
  <c r="E32" i="1"/>
  <c r="Q32" i="1"/>
  <c r="M32" i="1"/>
  <c r="N32" i="1" s="1"/>
  <c r="H33" i="1" s="1"/>
  <c r="I33" i="1" s="1"/>
  <c r="J33" i="1" s="1"/>
  <c r="K33" i="1" s="1"/>
  <c r="A33" i="1"/>
  <c r="B33" i="1"/>
  <c r="B34" i="3" l="1"/>
  <c r="A34" i="3"/>
  <c r="N33" i="3"/>
  <c r="O33" i="3" s="1"/>
  <c r="I34" i="3" s="1"/>
  <c r="J34" i="3" s="1"/>
  <c r="K34" i="3" s="1"/>
  <c r="L34" i="3" s="1"/>
  <c r="C13" i="2"/>
  <c r="L33" i="1"/>
  <c r="C33" i="1"/>
  <c r="P33" i="1" s="1"/>
  <c r="C18" i="2" s="1"/>
  <c r="D33" i="1"/>
  <c r="C34" i="3" l="1"/>
  <c r="D34" i="3"/>
  <c r="M34" i="3"/>
  <c r="S33" i="3"/>
  <c r="E33" i="3"/>
  <c r="E33" i="1"/>
  <c r="Q33" i="1"/>
  <c r="M33" i="1"/>
  <c r="N33" i="1" s="1"/>
  <c r="H34" i="1" s="1"/>
  <c r="I34" i="1" s="1"/>
  <c r="J34" i="1" s="1"/>
  <c r="B34" i="1"/>
  <c r="A34" i="1"/>
  <c r="B35" i="3" l="1"/>
  <c r="A35" i="3"/>
  <c r="N34" i="3"/>
  <c r="O34" i="3" s="1"/>
  <c r="I35" i="3" s="1"/>
  <c r="J35" i="3" s="1"/>
  <c r="K35" i="3" s="1"/>
  <c r="Q34" i="3"/>
  <c r="C14" i="2"/>
  <c r="C34" i="1"/>
  <c r="P34" i="1" s="1"/>
  <c r="C19" i="2" s="1"/>
  <c r="L35" i="3" l="1"/>
  <c r="D35" i="3"/>
  <c r="C35" i="3"/>
  <c r="S34" i="3"/>
  <c r="E34" i="3"/>
  <c r="E39" i="3"/>
  <c r="E34" i="1"/>
  <c r="A39" i="1"/>
  <c r="N38" i="1"/>
  <c r="H39" i="1" s="1"/>
  <c r="I39" i="1" s="1"/>
  <c r="J39" i="1" s="1"/>
  <c r="K39" i="1" s="1"/>
  <c r="Q34" i="1"/>
  <c r="Q35" i="3" l="1"/>
  <c r="S35" i="3"/>
  <c r="B40" i="3"/>
  <c r="A40" i="3"/>
  <c r="M39" i="3"/>
  <c r="N39" i="3" s="1"/>
  <c r="O39" i="3" s="1"/>
  <c r="I40" i="3" s="1"/>
  <c r="J40" i="3" s="1"/>
  <c r="K40" i="3" s="1"/>
  <c r="L40" i="3" s="1"/>
  <c r="C15" i="2"/>
  <c r="L39" i="1"/>
  <c r="B40" i="1" s="1"/>
  <c r="C39" i="1"/>
  <c r="D39" i="1"/>
  <c r="D40" i="3" l="1"/>
  <c r="C40" i="3"/>
  <c r="M40" i="3"/>
  <c r="P39" i="1"/>
  <c r="C20" i="2" s="1"/>
  <c r="Q39" i="1"/>
  <c r="A40" i="1"/>
  <c r="E39" i="1"/>
  <c r="M39" i="1"/>
  <c r="N39" i="1" s="1"/>
  <c r="H40" i="1" s="1"/>
  <c r="I40" i="1" s="1"/>
  <c r="J40" i="1" s="1"/>
  <c r="K40" i="1" s="1"/>
  <c r="D40" i="1" s="1"/>
  <c r="A41" i="3" l="1"/>
  <c r="B41" i="3"/>
  <c r="N40" i="3"/>
  <c r="O40" i="3" s="1"/>
  <c r="I41" i="3" s="1"/>
  <c r="J41" i="3" s="1"/>
  <c r="K41" i="3" s="1"/>
  <c r="L41" i="3" s="1"/>
  <c r="Q40" i="3"/>
  <c r="E40" i="3"/>
  <c r="S40" i="3"/>
  <c r="L40" i="1"/>
  <c r="B41" i="1" s="1"/>
  <c r="C40" i="1"/>
  <c r="P40" i="1" s="1"/>
  <c r="C21" i="2" s="1"/>
  <c r="C41" i="3" l="1"/>
  <c r="D41" i="3"/>
  <c r="M41" i="3"/>
  <c r="Q40" i="1"/>
  <c r="E40" i="1"/>
  <c r="M40" i="1"/>
  <c r="N40" i="1" s="1"/>
  <c r="H41" i="1" s="1"/>
  <c r="I41" i="1" s="1"/>
  <c r="A41" i="1"/>
  <c r="Q41" i="3" l="1"/>
  <c r="E41" i="3"/>
  <c r="S41" i="3"/>
  <c r="A42" i="3"/>
  <c r="B42" i="3"/>
  <c r="N41" i="3"/>
  <c r="O41" i="3" s="1"/>
  <c r="I42" i="3" s="1"/>
  <c r="J42" i="3" s="1"/>
  <c r="J41" i="1"/>
  <c r="D41" i="1" s="1"/>
  <c r="K42" i="3" l="1"/>
  <c r="D42" i="3"/>
  <c r="A42" i="1"/>
  <c r="K41" i="1"/>
  <c r="B43" i="3" l="1"/>
  <c r="L42" i="3"/>
  <c r="B42" i="1"/>
  <c r="C41" i="1"/>
  <c r="L41" i="1"/>
  <c r="C42" i="3" l="1"/>
  <c r="M42" i="3"/>
  <c r="P41" i="1"/>
  <c r="C22" i="2" s="1"/>
  <c r="Q41" i="1"/>
  <c r="E41" i="1"/>
  <c r="M41" i="1"/>
  <c r="N41" i="1" s="1"/>
  <c r="H42" i="1" s="1"/>
  <c r="I42" i="1" s="1"/>
  <c r="J42" i="1" s="1"/>
  <c r="K42" i="1" s="1"/>
  <c r="E42" i="3" l="1"/>
  <c r="Q42" i="3"/>
  <c r="S42" i="3"/>
  <c r="N42" i="3"/>
  <c r="O42" i="3" s="1"/>
  <c r="I43" i="3" s="1"/>
  <c r="J43" i="3" s="1"/>
  <c r="K43" i="3" s="1"/>
  <c r="L43" i="3" s="1"/>
  <c r="A43" i="3"/>
  <c r="L42" i="1"/>
  <c r="D42" i="1"/>
  <c r="C42" i="1"/>
  <c r="P42" i="1" s="1"/>
  <c r="C23" i="2" s="1"/>
  <c r="M43" i="3" l="1"/>
  <c r="C43" i="3"/>
  <c r="D43" i="3"/>
  <c r="B47" i="1"/>
  <c r="A47" i="1"/>
  <c r="Q42" i="1"/>
  <c r="E42" i="1"/>
  <c r="M42" i="1"/>
  <c r="N42" i="1" s="1"/>
  <c r="N43" i="3" l="1"/>
  <c r="O43" i="3" s="1"/>
  <c r="I47" i="3" s="1"/>
  <c r="J47" i="3" s="1"/>
  <c r="K47" i="3" s="1"/>
  <c r="L47" i="3" s="1"/>
  <c r="A47" i="3"/>
  <c r="B47" i="3"/>
  <c r="E43" i="3"/>
  <c r="Q43" i="3"/>
  <c r="S43" i="3"/>
  <c r="H43" i="1"/>
  <c r="I47" i="1" s="1"/>
  <c r="J47" i="1" s="1"/>
  <c r="K47" i="1" s="1"/>
  <c r="M47" i="3" l="1"/>
  <c r="D47" i="3"/>
  <c r="C47" i="3"/>
  <c r="L47" i="1"/>
  <c r="M47" i="1" s="1"/>
  <c r="N47" i="1" s="1"/>
  <c r="H48" i="1" s="1"/>
  <c r="I48" i="1" s="1"/>
  <c r="J48" i="1" s="1"/>
  <c r="K48" i="1" s="1"/>
  <c r="L48" i="1" s="1"/>
  <c r="M48" i="1" s="1"/>
  <c r="N48" i="1" s="1"/>
  <c r="H49" i="1" s="1"/>
  <c r="I49" i="1" s="1"/>
  <c r="J49" i="1" s="1"/>
  <c r="K49" i="1" s="1"/>
  <c r="L49" i="1" s="1"/>
  <c r="M49" i="1" s="1"/>
  <c r="N49" i="1" s="1"/>
  <c r="C47" i="1"/>
  <c r="D47" i="1"/>
  <c r="A48" i="1"/>
  <c r="B48" i="1"/>
  <c r="A48" i="3" l="1"/>
  <c r="B48" i="3"/>
  <c r="N47" i="3"/>
  <c r="O47" i="3" s="1"/>
  <c r="I48" i="3" s="1"/>
  <c r="J48" i="3" s="1"/>
  <c r="K48" i="3" s="1"/>
  <c r="L48" i="3" s="1"/>
  <c r="Q47" i="3"/>
  <c r="S47" i="3"/>
  <c r="E47" i="1"/>
  <c r="P47" i="1"/>
  <c r="Q47" i="1"/>
  <c r="C24" i="2"/>
  <c r="C48" i="1"/>
  <c r="D48" i="1"/>
  <c r="C48" i="3" l="1"/>
  <c r="D48" i="3"/>
  <c r="M48" i="3"/>
  <c r="P48" i="1"/>
  <c r="C25" i="2" s="1"/>
  <c r="Q48" i="1"/>
  <c r="E48" i="1"/>
  <c r="B49" i="1"/>
  <c r="A49" i="1"/>
  <c r="E48" i="3" l="1"/>
  <c r="S48" i="3"/>
  <c r="Q48" i="3"/>
  <c r="N48" i="3"/>
  <c r="O48" i="3" s="1"/>
  <c r="I49" i="3" s="1"/>
  <c r="J49" i="3" s="1"/>
  <c r="K49" i="3" s="1"/>
  <c r="L49" i="3" s="1"/>
  <c r="A49" i="3"/>
  <c r="B49" i="3"/>
  <c r="C49" i="1"/>
  <c r="D49" i="1"/>
  <c r="D49" i="3" l="1"/>
  <c r="C49" i="3"/>
  <c r="Q49" i="3" s="1"/>
  <c r="M49" i="3"/>
  <c r="S49" i="3"/>
  <c r="E49" i="3"/>
  <c r="P49" i="1"/>
  <c r="C26" i="2" s="1"/>
  <c r="Q49" i="1"/>
  <c r="E49" i="1"/>
  <c r="H50" i="1"/>
  <c r="I50" i="1" s="1"/>
  <c r="J50" i="1" s="1"/>
  <c r="K50" i="1" s="1"/>
  <c r="A50" i="1"/>
  <c r="B50" i="1"/>
  <c r="N49" i="3" l="1"/>
  <c r="O49" i="3" s="1"/>
  <c r="I50" i="3" s="1"/>
  <c r="J50" i="3" s="1"/>
  <c r="K50" i="3" s="1"/>
  <c r="L50" i="3" s="1"/>
  <c r="B50" i="3"/>
  <c r="A50" i="3"/>
  <c r="L50" i="1"/>
  <c r="C50" i="1"/>
  <c r="P50" i="1" s="1"/>
  <c r="C27" i="2" s="1"/>
  <c r="D50" i="1"/>
  <c r="D50" i="3" l="1"/>
  <c r="C50" i="3"/>
  <c r="M50" i="3"/>
  <c r="Q50" i="1"/>
  <c r="E50" i="1"/>
  <c r="C28" i="2"/>
  <c r="M50" i="1"/>
  <c r="N50" i="1" s="1"/>
  <c r="H51" i="1" s="1"/>
  <c r="I51" i="1" s="1"/>
  <c r="B58" i="1"/>
  <c r="A58" i="1"/>
  <c r="E50" i="3" l="1"/>
  <c r="S50" i="3"/>
  <c r="Q50" i="3"/>
  <c r="A57" i="3"/>
  <c r="B57" i="3"/>
  <c r="N50" i="3"/>
  <c r="O50" i="3" s="1"/>
  <c r="I51" i="3" s="1"/>
  <c r="J51" i="3" s="1"/>
  <c r="K57" i="3" s="1"/>
  <c r="L57" i="3" s="1"/>
  <c r="D58" i="1"/>
  <c r="L58" i="1"/>
  <c r="C58" i="1"/>
  <c r="M57" i="3" l="1"/>
  <c r="C57" i="3"/>
  <c r="D57" i="3"/>
  <c r="E58" i="1"/>
  <c r="P58" i="1"/>
  <c r="Q58" i="1"/>
  <c r="M58" i="1"/>
  <c r="N58" i="1" s="1"/>
  <c r="H59" i="1" s="1"/>
  <c r="I59" i="1" s="1"/>
  <c r="J59" i="1" s="1"/>
  <c r="K59" i="1" s="1"/>
  <c r="A59" i="1"/>
  <c r="B59" i="1"/>
  <c r="B58" i="3" l="1"/>
  <c r="A58" i="3"/>
  <c r="S57" i="3"/>
  <c r="Q57" i="3"/>
  <c r="L59" i="1"/>
  <c r="B60" i="1" s="1"/>
  <c r="C59" i="1"/>
  <c r="D59" i="1"/>
  <c r="P59" i="1" l="1"/>
  <c r="E59" i="1"/>
  <c r="A60" i="1"/>
  <c r="Q59" i="1"/>
  <c r="M59" i="1"/>
  <c r="N59" i="1" s="1"/>
  <c r="H60" i="1" s="1"/>
  <c r="I60" i="1" s="1"/>
  <c r="C29" i="2" l="1"/>
  <c r="J60" i="1"/>
  <c r="C60" i="1" l="1"/>
  <c r="D60" i="1"/>
  <c r="E60" i="1" s="1"/>
  <c r="K60" i="1"/>
  <c r="B61" i="1" l="1"/>
  <c r="A61" i="1"/>
  <c r="P60" i="1"/>
  <c r="L60" i="1"/>
  <c r="Q60" i="1" l="1"/>
  <c r="M60" i="1"/>
  <c r="N60" i="1" s="1"/>
  <c r="H61" i="1" s="1"/>
  <c r="I61" i="1" s="1"/>
  <c r="J61" i="1" s="1"/>
  <c r="K61" i="1" s="1"/>
  <c r="C30" i="2" l="1"/>
  <c r="D61" i="1"/>
  <c r="C61" i="1"/>
  <c r="L61" i="1"/>
  <c r="E61" i="1" l="1"/>
  <c r="P61" i="1"/>
  <c r="Q61" i="1"/>
  <c r="A62" i="1"/>
  <c r="M61" i="1"/>
  <c r="N61" i="1" s="1"/>
  <c r="H62" i="1" s="1"/>
  <c r="I62" i="1" s="1"/>
  <c r="J62" i="1" s="1"/>
  <c r="K62" i="1" s="1"/>
  <c r="B62" i="1"/>
  <c r="C31" i="2" l="1"/>
  <c r="L62" i="1"/>
  <c r="D62" i="1"/>
  <c r="C62" i="1"/>
  <c r="P62" i="1" l="1"/>
  <c r="M62" i="1"/>
  <c r="N66" i="1" s="1"/>
  <c r="B67" i="1"/>
  <c r="A67" i="1"/>
  <c r="E62" i="1"/>
  <c r="Q62" i="1"/>
  <c r="H67" i="1"/>
  <c r="I67" i="1" s="1"/>
  <c r="J67" i="1" s="1"/>
  <c r="K67" i="1" s="1"/>
  <c r="C32" i="2" l="1"/>
  <c r="L67" i="1"/>
  <c r="C67" i="1"/>
  <c r="D67" i="1"/>
  <c r="P67" i="1" l="1"/>
  <c r="C33" i="2" s="1"/>
  <c r="E67" i="1"/>
  <c r="Q67" i="1"/>
  <c r="M67" i="1"/>
  <c r="N67" i="1" s="1"/>
  <c r="H68" i="1" s="1"/>
  <c r="I68" i="1" s="1"/>
  <c r="J68" i="1" s="1"/>
  <c r="K68" i="1" s="1"/>
  <c r="B68" i="1"/>
  <c r="A68" i="1"/>
  <c r="L68" i="1" l="1"/>
  <c r="D68" i="1"/>
  <c r="C68" i="1"/>
  <c r="P68" i="1" s="1"/>
  <c r="C34" i="2" s="1"/>
  <c r="E68" i="1" l="1"/>
  <c r="Q68" i="1"/>
  <c r="B69" i="1"/>
  <c r="A69" i="1"/>
  <c r="M68" i="1"/>
  <c r="N68" i="1" s="1"/>
  <c r="H69" i="1" s="1"/>
  <c r="I69" i="1" s="1"/>
  <c r="J69" i="1" s="1"/>
  <c r="K69" i="1" s="1"/>
  <c r="L69" i="1" l="1"/>
  <c r="C69" i="1"/>
  <c r="D69" i="1"/>
  <c r="P69" i="1" l="1"/>
  <c r="C35" i="2" s="1"/>
  <c r="E69" i="1"/>
  <c r="Q69" i="1"/>
  <c r="M69" i="1"/>
  <c r="N69" i="1" s="1"/>
  <c r="H70" i="1" s="1"/>
  <c r="I70" i="1" s="1"/>
  <c r="J70" i="1" s="1"/>
  <c r="K70" i="1" s="1"/>
  <c r="B70" i="1"/>
  <c r="A70" i="1"/>
  <c r="L70" i="1" l="1"/>
  <c r="D70" i="1"/>
  <c r="C70" i="1"/>
  <c r="P70" i="1" l="1"/>
  <c r="C36" i="2" s="1"/>
  <c r="E70" i="1"/>
  <c r="Q70" i="1"/>
  <c r="C37" i="2"/>
  <c r="M70" i="1"/>
  <c r="N70" i="1" s="1"/>
  <c r="B75" i="1"/>
  <c r="A75" i="1"/>
  <c r="H71" i="1" l="1"/>
  <c r="I71" i="1" s="1"/>
  <c r="J75" i="1" s="1"/>
  <c r="K75" i="1" s="1"/>
  <c r="L75" i="1" l="1"/>
  <c r="D75" i="1"/>
  <c r="C75" i="1"/>
  <c r="P75" i="1" s="1"/>
  <c r="M75" i="1"/>
  <c r="N75" i="1" s="1"/>
  <c r="H76" i="1" s="1"/>
  <c r="I76" i="1" s="1"/>
  <c r="J76" i="1" s="1"/>
  <c r="K76" i="1" s="1"/>
  <c r="A76" i="1"/>
  <c r="B76" i="1"/>
  <c r="Q75" i="1" l="1"/>
  <c r="E75" i="1"/>
  <c r="L76" i="1"/>
  <c r="D76" i="1"/>
  <c r="C76" i="1"/>
  <c r="P76" i="1" s="1"/>
  <c r="C38" i="2" s="1"/>
  <c r="E76" i="1" l="1"/>
  <c r="Q76" i="1"/>
  <c r="M76" i="1"/>
  <c r="N76" i="1" s="1"/>
  <c r="H77" i="1" s="1"/>
  <c r="I77" i="1" s="1"/>
  <c r="J77" i="1" s="1"/>
  <c r="B77" i="1"/>
  <c r="A77" i="1"/>
  <c r="K77" i="1" l="1"/>
  <c r="C77" i="1" l="1"/>
  <c r="D77" i="1"/>
  <c r="L77" i="1"/>
  <c r="B78" i="1" s="1"/>
  <c r="E77" i="1" l="1"/>
  <c r="P77" i="1"/>
  <c r="C39" i="2" s="1"/>
  <c r="Q77" i="1"/>
  <c r="M77" i="1"/>
  <c r="N77" i="1" s="1"/>
  <c r="H78" i="1" s="1"/>
  <c r="I78" i="1" s="1"/>
  <c r="J78" i="1" s="1"/>
  <c r="K78" i="1" s="1"/>
  <c r="A78" i="1"/>
  <c r="L78" i="1" l="1"/>
  <c r="C78" i="1"/>
  <c r="D78" i="1"/>
  <c r="A79" i="1" l="1"/>
  <c r="B79" i="1"/>
  <c r="P78" i="1"/>
  <c r="C40" i="2" s="1"/>
  <c r="E78" i="1"/>
  <c r="C41" i="2"/>
  <c r="Q78" i="1"/>
  <c r="M78" i="1"/>
  <c r="N78" i="1" s="1"/>
  <c r="H79" i="1" s="1"/>
  <c r="I79" i="1" s="1"/>
  <c r="J79" i="1" s="1"/>
  <c r="K79" i="1" s="1"/>
  <c r="A83" i="1"/>
  <c r="B83" i="1"/>
  <c r="D79" i="1" l="1"/>
  <c r="D83" i="1"/>
  <c r="C83" i="1"/>
  <c r="L83" i="1"/>
  <c r="C79" i="1"/>
  <c r="Q83" i="1" l="1"/>
  <c r="P83" i="1"/>
  <c r="E83" i="1"/>
  <c r="B84" i="1"/>
  <c r="A84" i="1"/>
  <c r="M83" i="1"/>
  <c r="N83" i="1" s="1"/>
  <c r="H84" i="1" s="1"/>
  <c r="I84" i="1" s="1"/>
  <c r="J84" i="1" s="1"/>
  <c r="K84" i="1" s="1"/>
  <c r="L84" i="1" l="1"/>
  <c r="D84" i="1"/>
  <c r="C84" i="1"/>
  <c r="E84" i="1" l="1"/>
  <c r="P84" i="1"/>
  <c r="Q84" i="1"/>
  <c r="A85" i="1"/>
  <c r="B85" i="1"/>
  <c r="M84" i="1"/>
  <c r="N84" i="1" s="1"/>
  <c r="H85" i="1" s="1"/>
  <c r="I85" i="1" s="1"/>
  <c r="J85" i="1" s="1"/>
  <c r="K85" i="1" s="1"/>
  <c r="C42" i="2" l="1"/>
  <c r="C85" i="1"/>
  <c r="L85" i="1"/>
  <c r="D85" i="1"/>
  <c r="P85" i="1" l="1"/>
  <c r="E85" i="1"/>
  <c r="Q85" i="1"/>
  <c r="A86" i="1"/>
  <c r="B86" i="1"/>
  <c r="M85" i="1"/>
  <c r="N85" i="1" s="1"/>
  <c r="H86" i="1" s="1"/>
  <c r="I86" i="1" s="1"/>
  <c r="J86" i="1" s="1"/>
  <c r="K86" i="1" s="1"/>
  <c r="L86" i="1" s="1"/>
  <c r="C43" i="2" l="1"/>
  <c r="C86" i="1"/>
  <c r="D86" i="1"/>
  <c r="P86" i="1" l="1"/>
  <c r="E86" i="1"/>
  <c r="Q86" i="1"/>
  <c r="A87" i="1"/>
  <c r="B87" i="1"/>
  <c r="M86" i="1"/>
  <c r="N86" i="1" s="1"/>
  <c r="H87" i="1" s="1"/>
  <c r="I87" i="1" s="1"/>
  <c r="J87" i="1" s="1"/>
  <c r="K87" i="1" s="1"/>
  <c r="C44" i="2" l="1"/>
  <c r="D87" i="1"/>
  <c r="L87" i="1"/>
  <c r="M87" i="1" s="1"/>
  <c r="N87" i="1" s="1"/>
  <c r="H91" i="1" s="1"/>
  <c r="C87" i="1"/>
  <c r="P87" i="1" s="1"/>
  <c r="E87" i="1" l="1"/>
  <c r="Q87" i="1"/>
  <c r="B91" i="1"/>
  <c r="A91" i="1"/>
  <c r="C45" i="2" l="1"/>
  <c r="I91" i="1"/>
  <c r="J91" i="1" s="1"/>
  <c r="K91" i="1" s="1"/>
  <c r="D91" i="1" s="1"/>
  <c r="C91" i="1" l="1"/>
  <c r="P91" i="1" s="1"/>
  <c r="L91" i="1"/>
  <c r="M91" i="1" s="1"/>
  <c r="N91" i="1" s="1"/>
  <c r="H92" i="1" s="1"/>
  <c r="I92" i="1" s="1"/>
  <c r="J92" i="1" s="1"/>
  <c r="K92" i="1" s="1"/>
  <c r="E91" i="1" l="1"/>
  <c r="B92" i="1"/>
  <c r="A92" i="1"/>
  <c r="Q91" i="1"/>
  <c r="L92" i="1"/>
  <c r="D92" i="1"/>
  <c r="C92" i="1"/>
  <c r="P92" i="1" s="1"/>
  <c r="C47" i="2" l="1"/>
  <c r="C46" i="2"/>
  <c r="E92" i="1"/>
  <c r="Q92" i="1"/>
  <c r="M92" i="1"/>
  <c r="N92" i="1" s="1"/>
  <c r="H93" i="1" s="1"/>
  <c r="I93" i="1" s="1"/>
  <c r="J93" i="1" s="1"/>
  <c r="K93" i="1" s="1"/>
  <c r="B93" i="1"/>
  <c r="A93" i="1"/>
  <c r="D93" i="1" l="1"/>
  <c r="C93" i="1"/>
  <c r="L93" i="1"/>
  <c r="P93" i="1" l="1"/>
  <c r="C48" i="2" s="1"/>
  <c r="E93" i="1"/>
  <c r="Q93" i="1"/>
  <c r="M93" i="1"/>
  <c r="N93" i="1" s="1"/>
  <c r="A94" i="1"/>
  <c r="B94" i="1"/>
  <c r="H94" i="1" l="1"/>
  <c r="I94" i="1" s="1"/>
  <c r="J94" i="1" s="1"/>
  <c r="K94" i="1" s="1"/>
  <c r="D94" i="1" l="1"/>
  <c r="L94" i="1"/>
  <c r="C94" i="1"/>
  <c r="M94" i="1"/>
  <c r="B99" i="1"/>
  <c r="A99" i="1"/>
  <c r="P94" i="1" l="1"/>
  <c r="C50" i="2"/>
  <c r="C49" i="2"/>
  <c r="Q94" i="1"/>
  <c r="E94" i="1"/>
  <c r="K99" i="1"/>
  <c r="C99" i="1" s="1"/>
  <c r="N94" i="1"/>
  <c r="H95" i="1" s="1"/>
  <c r="L99" i="1" l="1"/>
  <c r="B100" i="1" s="1"/>
  <c r="E99" i="1"/>
  <c r="D99" i="1"/>
  <c r="P99" i="1" s="1"/>
  <c r="Q99" i="1"/>
  <c r="M99" i="1" l="1"/>
  <c r="N99" i="1" s="1"/>
  <c r="H100" i="1" s="1"/>
  <c r="I100" i="1" s="1"/>
  <c r="J100" i="1" s="1"/>
  <c r="K100" i="1" s="1"/>
  <c r="L100" i="1" s="1"/>
  <c r="A100" i="1"/>
  <c r="D100" i="1" l="1"/>
  <c r="Q100" i="1" s="1"/>
  <c r="C100" i="1"/>
  <c r="P100" i="1" s="1"/>
  <c r="M100" i="1"/>
  <c r="N100" i="1" s="1"/>
  <c r="H101" i="1" s="1"/>
  <c r="I101" i="1" s="1"/>
  <c r="J101" i="1" s="1"/>
  <c r="K101" i="1" s="1"/>
  <c r="B101" i="1"/>
  <c r="A101" i="1"/>
  <c r="E100" i="1" l="1"/>
  <c r="L101" i="1"/>
  <c r="D101" i="1"/>
  <c r="C101" i="1"/>
  <c r="P101" i="1" s="1"/>
  <c r="E101" i="1" l="1"/>
  <c r="Q101" i="1"/>
  <c r="M101" i="1"/>
  <c r="N101" i="1" s="1"/>
  <c r="H102" i="1" s="1"/>
  <c r="I102" i="1" s="1"/>
  <c r="J102" i="1" s="1"/>
  <c r="A102" i="1"/>
  <c r="B102" i="1"/>
  <c r="C52" i="2" l="1"/>
  <c r="K102" i="1"/>
  <c r="D102" i="1" l="1"/>
  <c r="C102" i="1"/>
  <c r="L102" i="1"/>
  <c r="P102" i="1" l="1"/>
  <c r="M102" i="1"/>
  <c r="N102" i="1" s="1"/>
  <c r="H103" i="1" s="1"/>
  <c r="I103" i="1" s="1"/>
  <c r="J103" i="1" s="1"/>
  <c r="K103" i="1" s="1"/>
  <c r="A103" i="1"/>
  <c r="B103" i="1"/>
  <c r="Q102" i="1"/>
  <c r="E102" i="1"/>
  <c r="C53" i="2"/>
  <c r="L103" i="1"/>
  <c r="M103" i="1" s="1"/>
  <c r="C103" i="1" l="1"/>
  <c r="Q103" i="1" s="1"/>
  <c r="D103" i="1"/>
  <c r="P103" i="1" l="1"/>
  <c r="C54" i="2" s="1"/>
  <c r="E103" i="1"/>
  <c r="C51" i="2"/>
  <c r="C55" i="2"/>
  <c r="N57" i="3" l="1"/>
  <c r="O57" i="3" s="1"/>
  <c r="I58" i="3" s="1"/>
  <c r="J58" i="3" s="1"/>
  <c r="K58" i="3" s="1"/>
  <c r="L58" i="3" s="1"/>
  <c r="E57" i="3"/>
  <c r="D58" i="3" l="1"/>
  <c r="C58" i="3"/>
  <c r="M58" i="3"/>
  <c r="B59" i="3" l="1"/>
  <c r="A59" i="3"/>
  <c r="N58" i="3"/>
  <c r="O58" i="3" s="1"/>
  <c r="I59" i="3" s="1"/>
  <c r="J59" i="3" s="1"/>
  <c r="K59" i="3" l="1"/>
  <c r="D59" i="3"/>
  <c r="Q58" i="3"/>
  <c r="B60" i="3" l="1"/>
  <c r="L59" i="3"/>
  <c r="E58" i="3"/>
  <c r="S58" i="3"/>
  <c r="C59" i="3" l="1"/>
  <c r="Q59" i="3" s="1"/>
  <c r="M59" i="3"/>
  <c r="N59" i="3" l="1"/>
  <c r="O59" i="3" s="1"/>
  <c r="I60" i="3" s="1"/>
  <c r="J60" i="3" s="1"/>
  <c r="K60" i="3" s="1"/>
  <c r="L60" i="3" s="1"/>
  <c r="A60" i="3"/>
  <c r="E59" i="3"/>
  <c r="S59" i="3"/>
  <c r="M60" i="3" l="1"/>
  <c r="C60" i="3"/>
  <c r="Q60" i="3" s="1"/>
  <c r="D60" i="3"/>
  <c r="B61" i="3" l="1"/>
  <c r="N60" i="3"/>
  <c r="O60" i="3" s="1"/>
  <c r="I61" i="3" s="1"/>
  <c r="J61" i="3" s="1"/>
  <c r="K61" i="3" s="1"/>
  <c r="L61" i="3" s="1"/>
  <c r="A61" i="3"/>
  <c r="E65" i="3"/>
  <c r="E60" i="3"/>
  <c r="S60" i="3"/>
  <c r="M61" i="3" l="1"/>
  <c r="C61" i="3"/>
  <c r="D61" i="3"/>
  <c r="A66" i="3" l="1"/>
  <c r="B66" i="3"/>
  <c r="N65" i="3"/>
  <c r="O65" i="3" s="1"/>
  <c r="I66" i="3" s="1"/>
  <c r="J66" i="3" s="1"/>
  <c r="K66" i="3" s="1"/>
  <c r="L66" i="3" s="1"/>
  <c r="S61" i="3"/>
  <c r="Q61" i="3"/>
  <c r="C66" i="3" l="1"/>
  <c r="M66" i="3"/>
  <c r="D66" i="3"/>
  <c r="Q66" i="3" l="1"/>
  <c r="E66" i="3"/>
  <c r="S66" i="3"/>
  <c r="B67" i="3"/>
  <c r="N66" i="3"/>
  <c r="O66" i="3" s="1"/>
  <c r="I67" i="3" s="1"/>
  <c r="J67" i="3" s="1"/>
  <c r="K67" i="3" s="1"/>
  <c r="L67" i="3" s="1"/>
  <c r="A67" i="3"/>
  <c r="M67" i="3" l="1"/>
  <c r="D67" i="3"/>
  <c r="C67" i="3"/>
  <c r="Q67" i="3"/>
  <c r="S67" i="3"/>
  <c r="E67" i="3"/>
  <c r="N67" i="3" l="1"/>
  <c r="O67" i="3" s="1"/>
  <c r="I68" i="3" s="1"/>
  <c r="J68" i="3" s="1"/>
  <c r="K68" i="3" s="1"/>
  <c r="L68" i="3" s="1"/>
  <c r="A68" i="3"/>
  <c r="B68" i="3"/>
  <c r="D68" i="3" l="1"/>
  <c r="M68" i="3"/>
  <c r="C68" i="3"/>
  <c r="N68" i="3" l="1"/>
  <c r="O68" i="3" s="1"/>
  <c r="I69" i="3" s="1"/>
  <c r="J69" i="3" s="1"/>
  <c r="K69" i="3" s="1"/>
  <c r="L69" i="3" s="1"/>
  <c r="B69" i="3"/>
  <c r="A69" i="3"/>
  <c r="Q68" i="3"/>
  <c r="E68" i="3"/>
  <c r="S68" i="3"/>
  <c r="E70" i="3"/>
  <c r="M69" i="3" l="1"/>
  <c r="C69" i="3"/>
  <c r="D69" i="3"/>
  <c r="A73" i="3" l="1"/>
  <c r="B73" i="3"/>
  <c r="N69" i="3"/>
  <c r="O69" i="3" s="1"/>
  <c r="I70" i="3" s="1"/>
  <c r="J73" i="3" s="1"/>
  <c r="K73" i="3" s="1"/>
  <c r="L73" i="3" s="1"/>
  <c r="Q69" i="3"/>
  <c r="S69" i="3"/>
  <c r="E69" i="3"/>
  <c r="B74" i="3"/>
  <c r="A74" i="3"/>
  <c r="M73" i="3" l="1"/>
  <c r="N73" i="3" s="1"/>
  <c r="O73" i="3" s="1"/>
  <c r="I74" i="3" s="1"/>
  <c r="J74" i="3" s="1"/>
  <c r="K74" i="3" s="1"/>
  <c r="L74" i="3" s="1"/>
  <c r="C73" i="3"/>
  <c r="D73" i="3"/>
  <c r="Q73" i="3" s="1"/>
  <c r="E73" i="3"/>
  <c r="S73" i="3"/>
  <c r="D74" i="3" l="1"/>
  <c r="C74" i="3"/>
  <c r="M74" i="3"/>
  <c r="A75" i="3"/>
  <c r="B75" i="3"/>
  <c r="N74" i="3"/>
  <c r="O74" i="3" s="1"/>
  <c r="I75" i="3" s="1"/>
  <c r="J75" i="3" l="1"/>
  <c r="K75" i="3" l="1"/>
  <c r="D75" i="3" l="1"/>
  <c r="C75" i="3"/>
  <c r="L75" i="3"/>
  <c r="M75" i="3" s="1"/>
  <c r="Q74" i="3"/>
  <c r="B76" i="3" l="1"/>
  <c r="A76" i="3"/>
  <c r="Q75" i="3"/>
  <c r="N75" i="3"/>
  <c r="O75" i="3" s="1"/>
  <c r="I76" i="3" s="1"/>
  <c r="J76" i="3" s="1"/>
  <c r="K76" i="3" s="1"/>
  <c r="L76" i="3" s="1"/>
  <c r="E74" i="3"/>
  <c r="S74" i="3"/>
  <c r="C76" i="3" l="1"/>
  <c r="D76" i="3"/>
  <c r="M76" i="3"/>
  <c r="E75" i="3"/>
  <c r="S75" i="3"/>
  <c r="A81" i="3" l="1"/>
  <c r="B81" i="3"/>
  <c r="Q76" i="3"/>
  <c r="N76" i="3"/>
  <c r="S76" i="3"/>
  <c r="E76" i="3"/>
  <c r="O76" i="3" l="1"/>
  <c r="I77" i="3" s="1"/>
  <c r="J77" i="3" s="1"/>
  <c r="K77" i="3" l="1"/>
  <c r="L81" i="3" s="1"/>
  <c r="M81" i="3" s="1"/>
  <c r="D81" i="3" l="1"/>
  <c r="C81" i="3"/>
  <c r="B82" i="3"/>
  <c r="A82" i="3"/>
  <c r="N81" i="3"/>
  <c r="O81" i="3" s="1"/>
  <c r="I82" i="3" s="1"/>
  <c r="J82" i="3" s="1"/>
  <c r="K82" i="3" s="1"/>
  <c r="L82" i="3" s="1"/>
  <c r="S81" i="3" l="1"/>
  <c r="C82" i="3"/>
  <c r="D82" i="3"/>
  <c r="M82" i="3"/>
  <c r="Q82" i="3" l="1"/>
  <c r="B83" i="3"/>
  <c r="A83" i="3"/>
  <c r="Q81" i="3"/>
  <c r="E81" i="3"/>
  <c r="N82" i="3"/>
  <c r="O82" i="3" s="1"/>
  <c r="I83" i="3" s="1"/>
  <c r="J83" i="3" s="1"/>
  <c r="K83" i="3" s="1"/>
  <c r="L83" i="3" s="1"/>
  <c r="D83" i="3" l="1"/>
  <c r="C83" i="3"/>
  <c r="M83" i="3"/>
  <c r="S82" i="3"/>
  <c r="E82" i="3"/>
  <c r="A84" i="3" l="1"/>
  <c r="B84" i="3"/>
  <c r="Q83" i="3"/>
  <c r="N83" i="3"/>
  <c r="O83" i="3" s="1"/>
  <c r="I84" i="3" s="1"/>
  <c r="J84" i="3" s="1"/>
  <c r="K84" i="3" s="1"/>
  <c r="L84" i="3" s="1"/>
  <c r="D84" i="3" l="1"/>
  <c r="C84" i="3"/>
  <c r="M84" i="3"/>
  <c r="E83" i="3"/>
  <c r="S83" i="3"/>
  <c r="B85" i="3" l="1"/>
  <c r="A85" i="3"/>
  <c r="N84" i="3"/>
  <c r="O84" i="3" s="1"/>
  <c r="I85" i="3" s="1"/>
  <c r="J85" i="3" s="1"/>
  <c r="Q84" i="3"/>
  <c r="K85" i="3" l="1"/>
  <c r="E84" i="3"/>
  <c r="S84" i="3"/>
  <c r="L85" i="3" l="1"/>
  <c r="D85" i="3" l="1"/>
  <c r="C85" i="3"/>
  <c r="M85" i="3"/>
  <c r="Q85" i="3" l="1"/>
  <c r="B90" i="3"/>
  <c r="A90" i="3"/>
  <c r="N85" i="3"/>
  <c r="O89" i="3" s="1"/>
  <c r="I90" i="3" s="1"/>
  <c r="J90" i="3" s="1"/>
  <c r="K90" i="3" s="1"/>
  <c r="L90" i="3" s="1"/>
  <c r="M90" i="3" s="1"/>
  <c r="S85" i="3"/>
  <c r="E85" i="3"/>
  <c r="B91" i="3" l="1"/>
  <c r="A91" i="3"/>
  <c r="D90" i="3"/>
  <c r="C90" i="3"/>
  <c r="S90" i="3" s="1"/>
  <c r="N90" i="3"/>
  <c r="O90" i="3" s="1"/>
  <c r="I91" i="3" s="1"/>
  <c r="J91" i="3" s="1"/>
  <c r="K91" i="3" s="1"/>
  <c r="L91" i="3" s="1"/>
  <c r="E90" i="3" l="1"/>
  <c r="Q90" i="3"/>
  <c r="D91" i="3"/>
  <c r="C91" i="3"/>
  <c r="M91" i="3"/>
  <c r="B92" i="3" l="1"/>
  <c r="A92" i="3"/>
  <c r="N91" i="3"/>
  <c r="O91" i="3" s="1"/>
  <c r="I92" i="3" s="1"/>
  <c r="J92" i="3" s="1"/>
  <c r="K92" i="3" s="1"/>
  <c r="L92" i="3" s="1"/>
  <c r="D92" i="3" l="1"/>
  <c r="C92" i="3"/>
  <c r="M92" i="3"/>
  <c r="Q91" i="3"/>
  <c r="Q92" i="3" l="1"/>
  <c r="S92" i="3"/>
  <c r="B93" i="3"/>
  <c r="A93" i="3"/>
  <c r="N92" i="3"/>
  <c r="O92" i="3" s="1"/>
  <c r="I93" i="3" s="1"/>
  <c r="J93" i="3" s="1"/>
  <c r="K93" i="3" s="1"/>
  <c r="L93" i="3" s="1"/>
  <c r="E91" i="3"/>
  <c r="S91" i="3"/>
  <c r="D93" i="3" l="1"/>
  <c r="C93" i="3"/>
  <c r="M93" i="3"/>
  <c r="E92" i="3"/>
  <c r="S93" i="3" l="1"/>
  <c r="Q93" i="3"/>
  <c r="B97" i="3"/>
  <c r="A97" i="3"/>
  <c r="E94" i="3"/>
  <c r="N93" i="3"/>
  <c r="O93" i="3" s="1"/>
  <c r="I94" i="3" l="1"/>
  <c r="J97" i="3" s="1"/>
  <c r="K97" i="3" s="1"/>
  <c r="L97" i="3" s="1"/>
  <c r="M97" i="3" s="1"/>
  <c r="E93" i="3"/>
  <c r="B98" i="3" l="1"/>
  <c r="A98" i="3"/>
  <c r="C97" i="3"/>
  <c r="D97" i="3"/>
  <c r="N97" i="3"/>
  <c r="O97" i="3" s="1"/>
  <c r="I98" i="3" s="1"/>
  <c r="J98" i="3" s="1"/>
  <c r="K98" i="3" s="1"/>
  <c r="L98" i="3" s="1"/>
  <c r="E97" i="3" l="1"/>
  <c r="S97" i="3"/>
  <c r="D98" i="3"/>
  <c r="C98" i="3"/>
  <c r="Q97" i="3"/>
  <c r="M98" i="3"/>
  <c r="S98" i="3" l="1"/>
  <c r="Q98" i="3"/>
  <c r="A99" i="3"/>
  <c r="B99" i="3"/>
  <c r="N98" i="3"/>
  <c r="O98" i="3" s="1"/>
  <c r="I99" i="3" s="1"/>
  <c r="J99" i="3" s="1"/>
  <c r="K99" i="3" s="1"/>
  <c r="L99" i="3" s="1"/>
  <c r="D99" i="3" l="1"/>
  <c r="C99" i="3"/>
  <c r="E98" i="3"/>
  <c r="M99" i="3"/>
  <c r="S99" i="3" l="1"/>
  <c r="Q99" i="3"/>
  <c r="B100" i="3"/>
  <c r="A100" i="3"/>
  <c r="N99" i="3"/>
  <c r="O99" i="3" s="1"/>
  <c r="I100" i="3" s="1"/>
  <c r="J100" i="3" s="1"/>
  <c r="K100" i="3" s="1"/>
  <c r="L100" i="3" l="1"/>
  <c r="M100" i="3" s="1"/>
  <c r="D100" i="3"/>
  <c r="C100" i="3"/>
  <c r="E99" i="3"/>
  <c r="Q100" i="3" l="1"/>
  <c r="S100" i="3"/>
  <c r="B101" i="3"/>
  <c r="A101" i="3"/>
  <c r="N100" i="3"/>
  <c r="O100" i="3" s="1"/>
  <c r="I101" i="3" s="1"/>
  <c r="J101" i="3" s="1"/>
  <c r="K101" i="3" s="1"/>
  <c r="L101" i="3" l="1"/>
  <c r="M101" i="3" s="1"/>
  <c r="C101" i="3"/>
  <c r="D101" i="3"/>
  <c r="E100" i="3"/>
  <c r="Q101" i="3" l="1"/>
  <c r="S101" i="3"/>
</calcChain>
</file>

<file path=xl/sharedStrings.xml><?xml version="1.0" encoding="utf-8"?>
<sst xmlns="http://schemas.openxmlformats.org/spreadsheetml/2006/main" count="594" uniqueCount="92">
  <si>
    <t>L</t>
  </si>
  <si>
    <t>M</t>
  </si>
  <si>
    <t>J</t>
  </si>
  <si>
    <t>V</t>
  </si>
  <si>
    <t>S</t>
  </si>
  <si>
    <t>D</t>
  </si>
  <si>
    <t>ENERO</t>
  </si>
  <si>
    <t>FEBRERO</t>
  </si>
  <si>
    <t>MARZO</t>
  </si>
  <si>
    <t>MAYO</t>
  </si>
  <si>
    <t>ABRIL</t>
  </si>
  <si>
    <t>JUNIO</t>
  </si>
  <si>
    <t>JULIO</t>
  </si>
  <si>
    <t>AGOSTO</t>
  </si>
  <si>
    <t>SEPTIEMBRE</t>
  </si>
  <si>
    <t>OCTUBRE</t>
  </si>
  <si>
    <t>NOVIEMBRE</t>
  </si>
  <si>
    <t>DICIEMBRE</t>
  </si>
  <si>
    <t>d</t>
  </si>
  <si>
    <t>m</t>
  </si>
  <si>
    <t>desde</t>
  </si>
  <si>
    <t>hasta</t>
  </si>
  <si>
    <t>dia reporte</t>
  </si>
  <si>
    <t>CORTES</t>
  </si>
  <si>
    <t>Week</t>
  </si>
  <si>
    <t>Responsable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</si>
  <si>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</si>
  <si>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</si>
  <si>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</si>
  <si>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</si>
  <si>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</si>
  <si>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</si>
  <si>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</si>
  <si>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</si>
  <si>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</si>
  <si>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</si>
  <si>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</si>
  <si>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</si>
  <si>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</si>
  <si>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Victor </t>
  </si>
  <si>
    <t>Josefina</t>
  </si>
  <si>
    <t>Total general</t>
  </si>
  <si>
    <t>Manuel</t>
  </si>
  <si>
    <t>Iván</t>
  </si>
  <si>
    <t>largo</t>
  </si>
  <si>
    <t># week</t>
  </si>
  <si>
    <t>DETALLES</t>
  </si>
  <si>
    <t>FERIADO</t>
  </si>
  <si>
    <t>INFORME SEMANAL</t>
  </si>
  <si>
    <t>versión 0.0</t>
  </si>
  <si>
    <t>FECHA INFORME</t>
  </si>
  <si>
    <t>Cuenta de Responsable</t>
  </si>
  <si>
    <t>Total</t>
  </si>
  <si>
    <t>09-abr</t>
  </si>
  <si>
    <t>17-abr</t>
  </si>
  <si>
    <t>24-abr</t>
  </si>
  <si>
    <t>30-abr</t>
  </si>
  <si>
    <t>PROGRAMACION 2021</t>
  </si>
  <si>
    <t>Viernes 1 de Enero: Año Nuevo</t>
  </si>
  <si>
    <t>Viernes 02 de Abril: Viernes Santo</t>
  </si>
  <si>
    <t>Sábado 03 de Abril: Sábado Santo</t>
  </si>
  <si>
    <t>Domingo 04 de Abril: Domingo de Resurrección</t>
  </si>
  <si>
    <t>Sábado 1 de Mayo: Día del Trabajador</t>
  </si>
  <si>
    <t>Viernes 21 de Mayo: Día de las Glorias Navales</t>
  </si>
  <si>
    <t>Lunes 28 de Junio: San Pedro y San Pablo</t>
  </si>
  <si>
    <t>Viernes 16 de Julio: Día de la Virgen del Carmen</t>
  </si>
  <si>
    <t>Domingo 15 de Agosto: Asunción de la Virgen</t>
  </si>
  <si>
    <t xml:space="preserve">Sábado 18 de Septiembre: Independencia </t>
  </si>
  <si>
    <t>Lunes 11 de Octubre: Día de la Raza</t>
  </si>
  <si>
    <t>Domingo 31 de Octubre: Día de las Iglesias Evangélicas y Protestantes</t>
  </si>
  <si>
    <t>Lunes 01 de Noviembre: Día de todos lo Santos</t>
  </si>
  <si>
    <t>Miercoles 8 de Diciembre: Inmaculada Concepción</t>
  </si>
  <si>
    <t>Sábado 25 de Diciembre: Navidad</t>
  </si>
  <si>
    <t>Sábado 01 de Enero: Año Nuevo</t>
  </si>
  <si>
    <t>Domingo 19 de Septiembre: Día de las Glorias del Ejército</t>
  </si>
  <si>
    <t>N° SEMANA</t>
  </si>
  <si>
    <t>Viernes 1 de mayo: Día del Trabajador</t>
  </si>
  <si>
    <t>Domingo 21 de junio: Día Nacional de los Pueblos Indigenas</t>
  </si>
  <si>
    <t>Lunes 29 de junio: San Pedro y San Pablo</t>
  </si>
  <si>
    <t>Sábado 15 de agosto: Asunción de la Virgen</t>
  </si>
  <si>
    <t>Viernes 18 de septiembre: Independencia 
Sábado 19 de septiembre: Día de las Glorias del Ejército</t>
  </si>
  <si>
    <t>Lunes 12 de octubre: Encuentro de Dos Mundos</t>
  </si>
  <si>
    <t>Sábado 31 de octubre: Día de las Iglesias Evangélicas y Protestantes</t>
  </si>
  <si>
    <t>Viernes 25 de diciembre: Navidad</t>
  </si>
  <si>
    <t>Domingo 1 de noviembre: Día de Todos los Santos</t>
  </si>
  <si>
    <t>Domingo 7 de junio: Día de la Batalla de Arica (Arica y Parinacota)</t>
  </si>
  <si>
    <t>Viernes 3 de abril: Viernes Santo
Sábado 4 de abril: Sábado Santo</t>
  </si>
  <si>
    <t>Jueves 1 de Enero: Año Nuevo</t>
  </si>
  <si>
    <t>Viernes 1 de enero: Año Nuevo</t>
  </si>
  <si>
    <r>
      <t>Jueves 21 de mayo: Día de las Glorias Navales. Viernes 22 de mayo</t>
    </r>
    <r>
      <rPr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rFont val="Calibri"/>
        <family val="2"/>
        <scheme val="minor"/>
      </rPr>
      <t>interferiado.</t>
    </r>
  </si>
  <si>
    <r>
      <t xml:space="preserve">Jueves 16 de julio: Día de la Virgen del Carmen. Viernes 17 de julio </t>
    </r>
    <r>
      <rPr>
        <b/>
        <i/>
        <sz val="11"/>
        <rFont val="Calibri"/>
        <family val="2"/>
        <scheme val="minor"/>
      </rPr>
      <t>interferiado.</t>
    </r>
  </si>
  <si>
    <r>
      <t>Luneas 7 de diciembre</t>
    </r>
    <r>
      <rPr>
        <b/>
        <i/>
        <sz val="11"/>
        <rFont val="Calibri"/>
        <family val="2"/>
        <scheme val="minor"/>
      </rPr>
      <t xml:space="preserve"> interferiado.                    </t>
    </r>
    <r>
      <rPr>
        <sz val="11"/>
        <rFont val="Calibri"/>
        <family val="2"/>
        <scheme val="minor"/>
      </rPr>
      <t>Martes 8 de diciembre: Inmaculada Concepción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</si>
</sst>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[$-340A]dddd\,\ d\ &quot;de&quot;\ mm\ &quot;de&quot;\ yyyy"/>
    <numFmt numFmtId="166" formatCode="[$-340A]dddd\,\ d&quot;/&quot;mm&quot;/&quot;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theme="0" tint="-4.9989318521683403E-2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right" vertical="top"/>
    </xf>
    <xf numFmtId="164" fontId="1" fillId="3" borderId="1" xfId="0" applyNumberFormat="1" applyFont="1" applyFill="1" applyBorder="1" applyAlignment="1">
      <alignment horizontal="right" vertical="top"/>
    </xf>
    <xf numFmtId="164" fontId="0" fillId="6" borderId="1" xfId="0" applyNumberFormat="1" applyFill="1" applyBorder="1" applyAlignment="1">
      <alignment horizontal="right" vertical="top"/>
    </xf>
    <xf numFmtId="164" fontId="0" fillId="5" borderId="1" xfId="0" applyNumberFormat="1" applyFill="1" applyBorder="1" applyAlignment="1">
      <alignment horizontal="right" vertical="top"/>
    </xf>
    <xf numFmtId="164" fontId="0" fillId="2" borderId="1" xfId="0" applyNumberFormat="1" applyFill="1" applyBorder="1" applyAlignment="1">
      <alignment horizontal="right" vertical="top"/>
    </xf>
    <xf numFmtId="165" fontId="0" fillId="0" borderId="0" xfId="0" applyNumberFormat="1" applyAlignment="1">
      <alignment horizontal="left" vertical="center"/>
    </xf>
    <xf numFmtId="0" fontId="0" fillId="0" borderId="0" xfId="0" pivotButton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right" vertical="top"/>
    </xf>
    <xf numFmtId="164" fontId="7" fillId="2" borderId="1" xfId="0" applyNumberFormat="1" applyFont="1" applyFill="1" applyBorder="1" applyAlignment="1">
      <alignment horizontal="right" vertical="top"/>
    </xf>
    <xf numFmtId="165" fontId="0" fillId="0" borderId="0" xfId="0" applyNumberFormat="1"/>
    <xf numFmtId="166" fontId="2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166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 wrapText="1"/>
    </xf>
    <xf numFmtId="166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166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 vertical="top" wrapText="1"/>
    </xf>
    <xf numFmtId="166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6" fontId="9" fillId="2" borderId="0" xfId="0" applyNumberFormat="1" applyFont="1" applyFill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166" fontId="2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166" fontId="2" fillId="4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 vertical="top"/>
    </xf>
    <xf numFmtId="0" fontId="2" fillId="4" borderId="0" xfId="0" applyFont="1" applyFill="1" applyAlignment="1">
      <alignment horizontal="center" vertical="top" wrapText="1"/>
    </xf>
    <xf numFmtId="1" fontId="2" fillId="2" borderId="0" xfId="0" applyNumberFormat="1" applyFont="1" applyFill="1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164" fontId="9" fillId="2" borderId="1" xfId="0" applyNumberFormat="1" applyFont="1" applyFill="1" applyBorder="1" applyAlignment="1">
      <alignment horizontal="right" vertical="top"/>
    </xf>
    <xf numFmtId="17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171450</xdr:colOff>
          <xdr:row>0</xdr:row>
          <xdr:rowOff>0</xdr:rowOff>
        </xdr:to>
        <xdr:sp macro="" textlink="">
          <xdr:nvSpPr>
            <xdr:cNvPr id="1025" name="FPMExcelClientSheetOptions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165100</xdr:colOff>
          <xdr:row>0</xdr:row>
          <xdr:rowOff>0</xdr:rowOff>
        </xdr:to>
        <xdr:sp macro="" textlink="">
          <xdr:nvSpPr>
            <xdr:cNvPr id="2049" name="FPMExcelClientSheetOptionstb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Fuentes Oyarzo" refreshedDate="43851.425822685182" createdVersion="6" refreshedVersion="6" minRefreshableVersion="3" recordCount="53" xr:uid="{6AA412FB-C5F2-428A-906A-6C776D50A062}">
  <cacheSource type="worksheet">
    <worksheetSource ref="A2:D55" sheet="Programación"/>
  </cacheSource>
  <cacheFields count="5"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Week" numFmtId="0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dia reporte" numFmtId="165">
      <sharedItems containsSemiMixedTypes="0" containsNonDate="0" containsDate="1" containsString="0" minDate="2020-01-03T00:00:00" maxDate="2021-01-01T00:00:00" count="53">
        <d v="2020-01-03T00:00:00"/>
        <d v="2020-01-10T00:00:00"/>
        <d v="2020-01-17T00:00:00"/>
        <d v="2020-01-24T00:00:00"/>
        <d v="2020-01-31T00:00:00"/>
        <d v="2020-02-07T00:00:00"/>
        <d v="2020-02-14T00:00:00"/>
        <d v="2020-02-21T00:00:00"/>
        <d v="2020-02-28T00:00:00"/>
        <d v="2020-03-06T00:00:00"/>
        <d v="2020-03-13T00:00:00"/>
        <d v="2020-03-20T00:00:00"/>
        <d v="2020-03-27T00:00:00"/>
        <d v="2020-04-03T00:00:00"/>
        <d v="2020-04-09T00:00:00"/>
        <d v="2020-04-17T00:00:00"/>
        <d v="2020-04-24T00:00:00"/>
        <d v="2020-04-30T00:00:00"/>
        <d v="2020-05-08T00:00:00"/>
        <d v="2020-05-15T00:00:00"/>
        <d v="2020-05-20T00:00:00"/>
        <d v="2020-05-29T00:00:00"/>
        <d v="2020-06-05T00:00:00"/>
        <d v="2020-06-12T00:00:00"/>
        <d v="2020-06-19T00:00:00"/>
        <d v="2020-06-26T00:00:00"/>
        <d v="2020-07-03T00:00:00"/>
        <d v="2020-07-10T00:00:00"/>
        <d v="2020-07-15T00:00:00"/>
        <d v="2020-07-24T00:00:00"/>
        <d v="2020-07-31T00:00:00"/>
        <d v="2020-08-07T00:00:00"/>
        <d v="2020-08-14T00:00:00"/>
        <d v="2020-08-21T00:00:00"/>
        <d v="2020-08-28T00:00:00"/>
        <d v="2020-09-04T00:00:00"/>
        <d v="2020-09-11T00:00:00"/>
        <d v="2020-09-17T00:00:00"/>
        <d v="2020-09-25T00:00:00"/>
        <d v="2020-10-02T00:00:00"/>
        <d v="2020-10-09T00:00:00"/>
        <d v="2020-10-16T00:00:00"/>
        <d v="2020-10-23T00:00:00"/>
        <d v="2020-10-30T00:00:00"/>
        <d v="2020-11-06T00:00:00"/>
        <d v="2020-11-13T00:00:00"/>
        <d v="2020-11-20T00:00:00"/>
        <d v="2020-11-27T00:00:00"/>
        <d v="2020-12-04T00:00:00"/>
        <d v="2020-12-11T00:00:00"/>
        <d v="2020-12-18T00:00:00"/>
        <d v="2020-12-24T00:00:00"/>
        <d v="2020-12-31T00:00:00"/>
      </sharedItems>
      <fieldGroup par="4" base="2">
        <rangePr groupBy="days" startDate="2020-01-03T00:00:00" endDate="2021-01-01T00:00:00"/>
        <groupItems count="368">
          <s v="&lt;03-01-2020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-01-2021"/>
        </groupItems>
      </fieldGroup>
    </cacheField>
    <cacheField name="Responsable" numFmtId="0">
      <sharedItems count="4">
        <s v="Victor "/>
        <s v="Josefina"/>
        <s v="Iván"/>
        <s v="Manuel"/>
      </sharedItems>
    </cacheField>
    <cacheField name="Meses" numFmtId="0" databaseField="0">
      <fieldGroup base="2">
        <rangePr groupBy="months" startDate="2020-01-03T00:00:00" endDate="2021-01-01T00:00:00"/>
        <groupItems count="14">
          <s v="&lt;03-01-2020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1"/>
  </r>
  <r>
    <x v="0"/>
    <x v="4"/>
    <x v="4"/>
    <x v="1"/>
  </r>
  <r>
    <x v="1"/>
    <x v="5"/>
    <x v="5"/>
    <x v="1"/>
  </r>
  <r>
    <x v="1"/>
    <x v="6"/>
    <x v="6"/>
    <x v="2"/>
  </r>
  <r>
    <x v="1"/>
    <x v="7"/>
    <x v="7"/>
    <x v="2"/>
  </r>
  <r>
    <x v="1"/>
    <x v="8"/>
    <x v="8"/>
    <x v="2"/>
  </r>
  <r>
    <x v="2"/>
    <x v="9"/>
    <x v="9"/>
    <x v="3"/>
  </r>
  <r>
    <x v="2"/>
    <x v="10"/>
    <x v="10"/>
    <x v="3"/>
  </r>
  <r>
    <x v="2"/>
    <x v="11"/>
    <x v="11"/>
    <x v="3"/>
  </r>
  <r>
    <x v="2"/>
    <x v="12"/>
    <x v="12"/>
    <x v="0"/>
  </r>
  <r>
    <x v="2"/>
    <x v="13"/>
    <x v="13"/>
    <x v="0"/>
  </r>
  <r>
    <x v="3"/>
    <x v="14"/>
    <x v="14"/>
    <x v="0"/>
  </r>
  <r>
    <x v="3"/>
    <x v="15"/>
    <x v="15"/>
    <x v="1"/>
  </r>
  <r>
    <x v="3"/>
    <x v="16"/>
    <x v="16"/>
    <x v="1"/>
  </r>
  <r>
    <x v="3"/>
    <x v="17"/>
    <x v="17"/>
    <x v="1"/>
  </r>
  <r>
    <x v="4"/>
    <x v="18"/>
    <x v="18"/>
    <x v="2"/>
  </r>
  <r>
    <x v="4"/>
    <x v="19"/>
    <x v="19"/>
    <x v="2"/>
  </r>
  <r>
    <x v="4"/>
    <x v="20"/>
    <x v="20"/>
    <x v="2"/>
  </r>
  <r>
    <x v="4"/>
    <x v="21"/>
    <x v="21"/>
    <x v="3"/>
  </r>
  <r>
    <x v="5"/>
    <x v="22"/>
    <x v="22"/>
    <x v="3"/>
  </r>
  <r>
    <x v="5"/>
    <x v="23"/>
    <x v="23"/>
    <x v="3"/>
  </r>
  <r>
    <x v="5"/>
    <x v="24"/>
    <x v="24"/>
    <x v="0"/>
  </r>
  <r>
    <x v="5"/>
    <x v="25"/>
    <x v="25"/>
    <x v="0"/>
  </r>
  <r>
    <x v="5"/>
    <x v="26"/>
    <x v="26"/>
    <x v="0"/>
  </r>
  <r>
    <x v="6"/>
    <x v="27"/>
    <x v="27"/>
    <x v="1"/>
  </r>
  <r>
    <x v="6"/>
    <x v="28"/>
    <x v="28"/>
    <x v="1"/>
  </r>
  <r>
    <x v="6"/>
    <x v="29"/>
    <x v="29"/>
    <x v="1"/>
  </r>
  <r>
    <x v="6"/>
    <x v="30"/>
    <x v="30"/>
    <x v="2"/>
  </r>
  <r>
    <x v="7"/>
    <x v="31"/>
    <x v="31"/>
    <x v="2"/>
  </r>
  <r>
    <x v="7"/>
    <x v="32"/>
    <x v="32"/>
    <x v="2"/>
  </r>
  <r>
    <x v="7"/>
    <x v="33"/>
    <x v="33"/>
    <x v="3"/>
  </r>
  <r>
    <x v="7"/>
    <x v="34"/>
    <x v="34"/>
    <x v="3"/>
  </r>
  <r>
    <x v="7"/>
    <x v="35"/>
    <x v="35"/>
    <x v="3"/>
  </r>
  <r>
    <x v="8"/>
    <x v="36"/>
    <x v="36"/>
    <x v="0"/>
  </r>
  <r>
    <x v="8"/>
    <x v="37"/>
    <x v="37"/>
    <x v="0"/>
  </r>
  <r>
    <x v="8"/>
    <x v="38"/>
    <x v="38"/>
    <x v="0"/>
  </r>
  <r>
    <x v="8"/>
    <x v="39"/>
    <x v="39"/>
    <x v="1"/>
  </r>
  <r>
    <x v="9"/>
    <x v="40"/>
    <x v="40"/>
    <x v="1"/>
  </r>
  <r>
    <x v="9"/>
    <x v="41"/>
    <x v="41"/>
    <x v="1"/>
  </r>
  <r>
    <x v="9"/>
    <x v="42"/>
    <x v="42"/>
    <x v="2"/>
  </r>
  <r>
    <x v="9"/>
    <x v="43"/>
    <x v="43"/>
    <x v="2"/>
  </r>
  <r>
    <x v="10"/>
    <x v="44"/>
    <x v="44"/>
    <x v="2"/>
  </r>
  <r>
    <x v="10"/>
    <x v="45"/>
    <x v="45"/>
    <x v="3"/>
  </r>
  <r>
    <x v="10"/>
    <x v="46"/>
    <x v="46"/>
    <x v="3"/>
  </r>
  <r>
    <x v="10"/>
    <x v="47"/>
    <x v="47"/>
    <x v="3"/>
  </r>
  <r>
    <x v="10"/>
    <x v="48"/>
    <x v="48"/>
    <x v="0"/>
  </r>
  <r>
    <x v="11"/>
    <x v="49"/>
    <x v="49"/>
    <x v="0"/>
  </r>
  <r>
    <x v="11"/>
    <x v="50"/>
    <x v="50"/>
    <x v="0"/>
  </r>
  <r>
    <x v="11"/>
    <x v="51"/>
    <x v="51"/>
    <x v="1"/>
  </r>
  <r>
    <x v="11"/>
    <x v="52"/>
    <x v="5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EC187-3A71-4BF6-91A0-CC5B1AF7C4BC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F3:I9" firstHeaderRow="2" firstDataRow="2" firstDataCol="3" rowPageCount="1" colPageCount="1"/>
  <pivotFields count="5">
    <pivotField axis="axisPage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Row" compact="0" numFmtId="165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dataField="1" compact="0" outline="0" showAll="0">
      <items count="5">
        <item x="1"/>
        <item x="0"/>
        <item x="3"/>
        <item x="2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"/>
    <field x="2"/>
    <field x="3"/>
  </rowFields>
  <rowItems count="5">
    <i>
      <x v="14"/>
      <x v="100"/>
      <x v="1"/>
    </i>
    <i>
      <x v="15"/>
      <x v="108"/>
      <x/>
    </i>
    <i>
      <x v="16"/>
      <x v="115"/>
      <x/>
    </i>
    <i>
      <x v="17"/>
      <x v="121"/>
      <x/>
    </i>
    <i t="grand">
      <x/>
    </i>
  </rowItems>
  <colItems count="1">
    <i/>
  </colItems>
  <pageFields count="1">
    <pageField fld="0" item="3" hier="-1"/>
  </pageFields>
  <dataFields count="1">
    <dataField name="Cuenta de Responsabl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669F-C256-46AF-94D2-41C10A45BCB5}">
  <sheetPr codeName="Hoja1">
    <pageSetUpPr fitToPage="1"/>
  </sheetPr>
  <dimension ref="A1:R122"/>
  <sheetViews>
    <sheetView showGridLines="0" topLeftCell="A25" zoomScale="90" zoomScaleNormal="90" zoomScaleSheetLayoutView="90" workbookViewId="0">
      <selection activeCell="Q39" sqref="Q39"/>
    </sheetView>
  </sheetViews>
  <sheetFormatPr baseColWidth="10" defaultRowHeight="14.5" outlineLevelCol="1" x14ac:dyDescent="0.35"/>
  <cols>
    <col min="1" max="1" width="7.7265625" style="14" customWidth="1" outlineLevel="1"/>
    <col min="2" max="2" width="3.1796875" style="14" customWidth="1" outlineLevel="1"/>
    <col min="3" max="3" width="6.453125" style="14" customWidth="1" outlineLevel="1"/>
    <col min="4" max="4" width="3.1796875" style="14" customWidth="1" outlineLevel="1"/>
    <col min="5" max="5" width="6.1796875" style="15" customWidth="1" outlineLevel="1"/>
    <col min="6" max="6" width="6.453125" style="14" customWidth="1"/>
    <col min="7" max="7" width="1.26953125" style="1" customWidth="1"/>
    <col min="8" max="14" width="8.453125" style="2" customWidth="1"/>
    <col min="15" max="15" width="2.81640625" style="2" customWidth="1"/>
    <col min="16" max="16" width="21.1796875" style="22" bestFit="1" customWidth="1"/>
    <col min="17" max="17" width="85.26953125" style="23" customWidth="1"/>
    <col min="18" max="18" width="33.453125" style="31" customWidth="1"/>
    <col min="23" max="23" width="11.54296875" customWidth="1"/>
  </cols>
  <sheetData>
    <row r="1" spans="1:18" ht="15.5" x14ac:dyDescent="0.35">
      <c r="H1" s="16" t="s">
        <v>48</v>
      </c>
      <c r="R1" s="28">
        <f ca="1">TODAY()</f>
        <v>46139</v>
      </c>
    </row>
    <row r="2" spans="1:18" ht="15.5" x14ac:dyDescent="0.35">
      <c r="A2" s="14" t="s">
        <v>23</v>
      </c>
      <c r="H2" s="16" t="s">
        <v>57</v>
      </c>
      <c r="P2" s="24"/>
      <c r="Q2" s="25"/>
      <c r="R2" s="29" t="s">
        <v>49</v>
      </c>
    </row>
    <row r="3" spans="1:18" ht="15.75" customHeight="1" x14ac:dyDescent="0.35">
      <c r="P3" s="24"/>
      <c r="Q3" s="25"/>
      <c r="R3" s="30"/>
    </row>
    <row r="4" spans="1:18" x14ac:dyDescent="0.35">
      <c r="A4" s="14" t="s">
        <v>20</v>
      </c>
      <c r="C4" s="14" t="s">
        <v>21</v>
      </c>
      <c r="E4" s="15" t="s">
        <v>44</v>
      </c>
      <c r="F4" s="14" t="s">
        <v>45</v>
      </c>
      <c r="H4" s="44" t="s">
        <v>6</v>
      </c>
      <c r="I4" s="44"/>
      <c r="J4" s="44"/>
      <c r="K4" s="44"/>
      <c r="L4" s="44"/>
      <c r="M4" s="44"/>
      <c r="N4" s="44"/>
      <c r="P4" s="26" t="s">
        <v>50</v>
      </c>
      <c r="Q4" s="27" t="s">
        <v>46</v>
      </c>
      <c r="R4" s="27" t="s">
        <v>47</v>
      </c>
    </row>
    <row r="5" spans="1:18" x14ac:dyDescent="0.35">
      <c r="A5" s="14" t="s">
        <v>19</v>
      </c>
      <c r="B5" s="14" t="s">
        <v>18</v>
      </c>
      <c r="C5" s="14" t="s">
        <v>19</v>
      </c>
      <c r="D5" s="14" t="s">
        <v>18</v>
      </c>
      <c r="H5" s="4" t="s">
        <v>0</v>
      </c>
      <c r="I5" s="4" t="s">
        <v>1</v>
      </c>
      <c r="J5" s="4" t="s">
        <v>1</v>
      </c>
      <c r="K5" s="4" t="s">
        <v>2</v>
      </c>
      <c r="L5" s="4" t="s">
        <v>3</v>
      </c>
      <c r="M5" s="4" t="s">
        <v>4</v>
      </c>
      <c r="N5" s="4" t="s">
        <v>5</v>
      </c>
    </row>
    <row r="6" spans="1:18" ht="39.75" customHeight="1" x14ac:dyDescent="0.35">
      <c r="F6" s="14">
        <v>52</v>
      </c>
      <c r="H6" s="17"/>
      <c r="I6" s="18">
        <f>+J6-1</f>
        <v>43830</v>
      </c>
      <c r="J6" s="18">
        <v>43831</v>
      </c>
      <c r="K6" s="8"/>
      <c r="L6" s="7">
        <f t="shared" ref="L6:N10" si="0">1+K6</f>
        <v>1</v>
      </c>
      <c r="M6" s="9">
        <f t="shared" si="0"/>
        <v>2</v>
      </c>
      <c r="N6" s="9">
        <f t="shared" si="0"/>
        <v>3</v>
      </c>
      <c r="P6" s="20"/>
      <c r="Q6" s="21"/>
      <c r="R6" s="32" t="s">
        <v>58</v>
      </c>
    </row>
    <row r="7" spans="1:18" ht="39.75" customHeight="1" x14ac:dyDescent="0.35">
      <c r="A7" s="14">
        <v>12</v>
      </c>
      <c r="B7" s="14">
        <v>31</v>
      </c>
      <c r="C7" s="14">
        <f>+MONTH(K7)</f>
        <v>1</v>
      </c>
      <c r="D7" s="14">
        <f>+DAY(K7)</f>
        <v>7</v>
      </c>
      <c r="E7" s="15">
        <f>IF(A7=C7,D7-B7+1,DAY(EOMONTH(I7,0))-B7+D7+1)</f>
        <v>8</v>
      </c>
      <c r="F7" s="14">
        <v>1</v>
      </c>
      <c r="H7" s="9">
        <f>1+N6</f>
        <v>4</v>
      </c>
      <c r="I7" s="9">
        <f t="shared" ref="I7:K10" si="1">1+H7</f>
        <v>5</v>
      </c>
      <c r="J7" s="9">
        <f t="shared" si="1"/>
        <v>6</v>
      </c>
      <c r="K7" s="9">
        <f t="shared" si="1"/>
        <v>7</v>
      </c>
      <c r="L7" s="8">
        <f t="shared" si="0"/>
        <v>8</v>
      </c>
      <c r="M7" s="8">
        <f t="shared" si="0"/>
        <v>9</v>
      </c>
      <c r="N7" s="8">
        <f t="shared" si="0"/>
        <v>10</v>
      </c>
      <c r="P7" s="34">
        <f>DATE(2021,C7,D7+1)</f>
        <v>44204</v>
      </c>
      <c r="Q7" s="35" t="str">
        <f>IF(A7=C7,"Informe "&amp;D7-B7+1&amp;" días ( "&amp;D7-B7&amp;" reales y 1 proyectado); Reales del "&amp;B7&amp;"/"&amp;C7&amp;" al "&amp;D7-1&amp;"/"&amp;A7&amp;" ,Proyectado "&amp;D7&amp;"/"&amp;A7,"Informe "&amp;DAY(EOMONTH(K6,0))-B7+D7+1&amp;" días ( "&amp;DAY(EOMONTH(K6,0))-B7+D7&amp;" reales y 1 proyectado); Reales del "&amp;B7&amp;"/"&amp;A7&amp;" al "&amp;D7-1&amp;"/"&amp;C7&amp;" ,Proyectado "&amp;D7&amp;"/"&amp;C7)</f>
        <v>Informe 8 días ( 7 reales y 1 proyectado); Reales del 31/12 al 6/1 ,Proyectado 7/1</v>
      </c>
      <c r="R7" s="32"/>
    </row>
    <row r="8" spans="1:18" ht="39.75" customHeight="1" x14ac:dyDescent="0.35">
      <c r="A8" s="14">
        <f>+MONTH(L7)</f>
        <v>1</v>
      </c>
      <c r="B8" s="14">
        <f>+DAY(L7)</f>
        <v>8</v>
      </c>
      <c r="C8" s="14">
        <f>+MONTH(K8)</f>
        <v>1</v>
      </c>
      <c r="D8" s="14">
        <f>+DAY(K8)</f>
        <v>14</v>
      </c>
      <c r="E8" s="15">
        <f t="shared" ref="E8:E10" si="2">IF(A8=C8,D8-B8+1,DAY(EOMONTH(I8,0))-B8+D8+1)</f>
        <v>7</v>
      </c>
      <c r="F8" s="14">
        <v>2</v>
      </c>
      <c r="H8" s="8">
        <f>1+N7</f>
        <v>11</v>
      </c>
      <c r="I8" s="8">
        <f t="shared" si="1"/>
        <v>12</v>
      </c>
      <c r="J8" s="8">
        <f t="shared" si="1"/>
        <v>13</v>
      </c>
      <c r="K8" s="8">
        <f t="shared" si="1"/>
        <v>14</v>
      </c>
      <c r="L8" s="9">
        <f t="shared" si="0"/>
        <v>15</v>
      </c>
      <c r="M8" s="9">
        <f t="shared" si="0"/>
        <v>16</v>
      </c>
      <c r="N8" s="9">
        <f t="shared" si="0"/>
        <v>17</v>
      </c>
      <c r="P8" s="20">
        <f>DATE(2021,C8,D8+1)</f>
        <v>44211</v>
      </c>
      <c r="Q8" s="21" t="str">
        <f>IF(A8=C8,"Informe "&amp;D8-B8+1&amp;" días ( "&amp;D8-B8&amp;" reales y 1 proyectado); Reales del "&amp;B8&amp;"/"&amp;C8&amp;" al "&amp;D8-1&amp;"/"&amp;A8&amp;" ,Proyectado "&amp;D8&amp;"/"&amp;A8,"Informe "&amp;DAY(EOMONTH(K8,0))-B8+D8+1&amp;" días ( "&amp;DAY(EOMONTH(K8,0))-B8+D8&amp;" reales y 1 proyectado); Reales del "&amp;B8&amp;"/"&amp;A8&amp;" al "&amp;D8-1&amp;"/"&amp;C8&amp;" ,Proyectado "&amp;D8&amp;"/"&amp;C8)</f>
        <v>Informe 7 días ( 6 reales y 1 proyectado); Reales del 8/1 al 13/1 ,Proyectado 14/1</v>
      </c>
      <c r="R8" s="32"/>
    </row>
    <row r="9" spans="1:18" ht="39.75" customHeight="1" x14ac:dyDescent="0.35">
      <c r="A9" s="14">
        <f>+MONTH(L8)</f>
        <v>1</v>
      </c>
      <c r="B9" s="14">
        <f>+DAY(L8)</f>
        <v>15</v>
      </c>
      <c r="C9" s="14">
        <f>+MONTH(K9)</f>
        <v>1</v>
      </c>
      <c r="D9" s="14">
        <f>+DAY(K9)</f>
        <v>21</v>
      </c>
      <c r="E9" s="15">
        <f t="shared" si="2"/>
        <v>7</v>
      </c>
      <c r="F9" s="14">
        <v>3</v>
      </c>
      <c r="H9" s="9">
        <f>1+N8</f>
        <v>18</v>
      </c>
      <c r="I9" s="9">
        <f t="shared" si="1"/>
        <v>19</v>
      </c>
      <c r="J9" s="9">
        <f t="shared" si="1"/>
        <v>20</v>
      </c>
      <c r="K9" s="9">
        <f t="shared" si="1"/>
        <v>21</v>
      </c>
      <c r="L9" s="8">
        <f t="shared" si="0"/>
        <v>22</v>
      </c>
      <c r="M9" s="8">
        <f t="shared" si="0"/>
        <v>23</v>
      </c>
      <c r="N9" s="8">
        <f t="shared" si="0"/>
        <v>24</v>
      </c>
      <c r="P9" s="20">
        <f t="shared" ref="P9:P10" si="3">DATE(2021,C9,D9+1)</f>
        <v>44218</v>
      </c>
      <c r="Q9" s="21" t="str">
        <f t="shared" ref="Q9:Q10" si="4">IF(A9=C9,"Informe "&amp;D9-B9+1&amp;" días ( "&amp;D9-B9&amp;" reales y 1 proyectado); Reales del "&amp;B9&amp;"/"&amp;C9&amp;" al "&amp;D9-1&amp;"/"&amp;A9&amp;" ,Proyectado "&amp;D9&amp;"/"&amp;A9,"Informe "&amp;DAY(EOMONTH(K9,0))-B9+D9+1&amp;" días ( "&amp;DAY(EOMONTH(K9,0))-B9+D9&amp;" reales y 1 proyectado); Reales del "&amp;B9&amp;"/"&amp;A9&amp;" al "&amp;D9-1&amp;"/"&amp;C9&amp;" ,Proyectado "&amp;D9&amp;"/"&amp;C9)</f>
        <v>Informe 7 días ( 6 reales y 1 proyectado); Reales del 15/1 al 20/1 ,Proyectado 21/1</v>
      </c>
      <c r="R9" s="32"/>
    </row>
    <row r="10" spans="1:18" ht="39.75" customHeight="1" x14ac:dyDescent="0.35">
      <c r="A10" s="14">
        <f>+MONTH(L9)</f>
        <v>1</v>
      </c>
      <c r="B10" s="14">
        <f>+DAY(L9)</f>
        <v>22</v>
      </c>
      <c r="C10" s="14">
        <f>+MONTH(K10)</f>
        <v>1</v>
      </c>
      <c r="D10" s="14">
        <f>+DAY(K10)</f>
        <v>28</v>
      </c>
      <c r="E10" s="15">
        <f t="shared" si="2"/>
        <v>7</v>
      </c>
      <c r="F10" s="14">
        <v>4</v>
      </c>
      <c r="H10" s="8">
        <f>1+N9</f>
        <v>25</v>
      </c>
      <c r="I10" s="8">
        <f t="shared" si="1"/>
        <v>26</v>
      </c>
      <c r="J10" s="8">
        <f t="shared" si="1"/>
        <v>27</v>
      </c>
      <c r="K10" s="8">
        <f t="shared" si="1"/>
        <v>28</v>
      </c>
      <c r="L10" s="9">
        <f t="shared" si="0"/>
        <v>29</v>
      </c>
      <c r="M10" s="9">
        <f t="shared" ref="M10" si="5">1+L10</f>
        <v>30</v>
      </c>
      <c r="N10" s="9">
        <f t="shared" ref="N10" si="6">1+M10</f>
        <v>31</v>
      </c>
      <c r="P10" s="20">
        <f t="shared" si="3"/>
        <v>44225</v>
      </c>
      <c r="Q10" s="21" t="str">
        <f t="shared" si="4"/>
        <v>Informe 7 días ( 6 reales y 1 proyectado); Reales del 22/1 al 27/1 ,Proyectado 28/1</v>
      </c>
      <c r="R10" s="32"/>
    </row>
    <row r="12" spans="1:18" x14ac:dyDescent="0.35">
      <c r="A12" s="14" t="s">
        <v>20</v>
      </c>
      <c r="C12" s="14" t="s">
        <v>21</v>
      </c>
      <c r="E12" s="15" t="s">
        <v>44</v>
      </c>
      <c r="F12" s="14" t="s">
        <v>45</v>
      </c>
      <c r="H12" s="44" t="s">
        <v>7</v>
      </c>
      <c r="I12" s="44"/>
      <c r="J12" s="44"/>
      <c r="K12" s="44"/>
      <c r="L12" s="44"/>
      <c r="M12" s="44"/>
      <c r="N12" s="44"/>
      <c r="P12" s="26" t="s">
        <v>50</v>
      </c>
      <c r="Q12" s="27" t="s">
        <v>46</v>
      </c>
      <c r="R12" s="27" t="s">
        <v>47</v>
      </c>
    </row>
    <row r="13" spans="1:18" x14ac:dyDescent="0.35">
      <c r="A13" s="14" t="s">
        <v>19</v>
      </c>
      <c r="B13" s="14" t="s">
        <v>18</v>
      </c>
      <c r="C13" s="14" t="s">
        <v>19</v>
      </c>
      <c r="D13" s="14" t="s">
        <v>18</v>
      </c>
      <c r="H13" s="4" t="s">
        <v>0</v>
      </c>
      <c r="I13" s="4" t="s">
        <v>1</v>
      </c>
      <c r="J13" s="4" t="s">
        <v>1</v>
      </c>
      <c r="K13" s="4" t="s">
        <v>2</v>
      </c>
      <c r="L13" s="4" t="s">
        <v>3</v>
      </c>
      <c r="M13" s="4" t="s">
        <v>4</v>
      </c>
      <c r="N13" s="4" t="s">
        <v>5</v>
      </c>
    </row>
    <row r="14" spans="1:18" ht="39.75" customHeight="1" x14ac:dyDescent="0.35">
      <c r="A14" s="14">
        <f>+MONTH(L10)</f>
        <v>1</v>
      </c>
      <c r="B14" s="14">
        <f>+DAY(L10)</f>
        <v>29</v>
      </c>
      <c r="C14" s="14">
        <f>+MONTH(K14)</f>
        <v>2</v>
      </c>
      <c r="D14" s="14">
        <f>+DAY(K14)</f>
        <v>4</v>
      </c>
      <c r="E14" s="15">
        <f>IF(A14=C14,D14-B14+1,DAY(EOMONTH(I10,0))-B14+D14+1)</f>
        <v>7</v>
      </c>
      <c r="F14" s="14">
        <v>5</v>
      </c>
      <c r="H14" s="9">
        <f>1+N10</f>
        <v>32</v>
      </c>
      <c r="I14" s="9">
        <f>+H14+1</f>
        <v>33</v>
      </c>
      <c r="J14" s="9">
        <f t="shared" ref="J14:N14" si="7">+I14+1</f>
        <v>34</v>
      </c>
      <c r="K14" s="9">
        <f t="shared" si="7"/>
        <v>35</v>
      </c>
      <c r="L14" s="8">
        <f t="shared" si="7"/>
        <v>36</v>
      </c>
      <c r="M14" s="8">
        <f t="shared" si="7"/>
        <v>37</v>
      </c>
      <c r="N14" s="8">
        <f t="shared" si="7"/>
        <v>38</v>
      </c>
      <c r="P14" s="20">
        <f t="shared" ref="P14" si="8">DATE(2021,C14,D14+1)</f>
        <v>44232</v>
      </c>
      <c r="Q14" s="21" t="str">
        <f>IF(A14=C14,"Informe "&amp;D14-B14+1&amp;" días ( "&amp;D14-B14&amp;" reales y 1 proyectado); Reales del "&amp;B14&amp;"/"&amp;C14&amp;" al "&amp;D14-1&amp;"/"&amp;A14&amp;" ,Proyectado "&amp;D14&amp;"/"&amp;A14,"Informe "&amp;DAY(EOMONTH(K10,0))-B14+D14+1&amp;" días ( "&amp;DAY(EOMONTH(K10,0))-B14+D14&amp;" reales y 1 proyectado); Reales del "&amp;B14&amp;"/"&amp;A14&amp;" al "&amp;D14-1&amp;"/"&amp;C14&amp;" ,Proyectado "&amp;D14&amp;"/"&amp;C14)</f>
        <v>Informe 7 días ( 6 reales y 1 proyectado); Reales del 29/1 al 3/2 ,Proyectado 4/2</v>
      </c>
      <c r="R14" s="21"/>
    </row>
    <row r="15" spans="1:18" ht="39.75" customHeight="1" x14ac:dyDescent="0.35">
      <c r="A15" s="14">
        <f>+MONTH(L14)</f>
        <v>2</v>
      </c>
      <c r="B15" s="14">
        <f>+DAY(L14)</f>
        <v>5</v>
      </c>
      <c r="C15" s="14">
        <f>+MONTH(K15)</f>
        <v>2</v>
      </c>
      <c r="D15" s="14">
        <f>+DAY(K15)</f>
        <v>11</v>
      </c>
      <c r="E15" s="15">
        <f t="shared" ref="E15:E16" si="9">IF(A15=C15,D15-B15+1,DAY(EOMONTH(I15,0))-B15+D15+1)</f>
        <v>7</v>
      </c>
      <c r="F15" s="14">
        <f>1+F14</f>
        <v>6</v>
      </c>
      <c r="H15" s="8">
        <f t="shared" ref="H15:H17" si="10">1+N14</f>
        <v>39</v>
      </c>
      <c r="I15" s="8">
        <f t="shared" ref="I15:N15" si="11">+H15+1</f>
        <v>40</v>
      </c>
      <c r="J15" s="8">
        <f t="shared" si="11"/>
        <v>41</v>
      </c>
      <c r="K15" s="8">
        <f t="shared" si="11"/>
        <v>42</v>
      </c>
      <c r="L15" s="9">
        <f t="shared" si="11"/>
        <v>43</v>
      </c>
      <c r="M15" s="9">
        <f t="shared" si="11"/>
        <v>44</v>
      </c>
      <c r="N15" s="9">
        <f t="shared" si="11"/>
        <v>45</v>
      </c>
      <c r="P15" s="20">
        <f t="shared" ref="P15:P16" si="12">DATE(2021,C15,D15+1)</f>
        <v>44239</v>
      </c>
      <c r="Q15" s="21" t="str">
        <f>IF(A15=C15,"Informe "&amp;D15-B15+1&amp;" días ( "&amp;D15-B15&amp;" reales y 1 proyectado); Reales del "&amp;B15&amp;"/"&amp;C15&amp;" al "&amp;D15-1&amp;"/"&amp;A15&amp;" ,Proyectado "&amp;D15&amp;"/"&amp;A15,"Informe "&amp;DAY(EOMONTH(K15,0))-B15+D15+1&amp;" días ( "&amp;DAY(EOMONTH(K15,0))-B15+D15&amp;" reales y 1 proyectado); Reales del "&amp;B15&amp;"/"&amp;A15&amp;" al "&amp;D15-1&amp;"/"&amp;C15&amp;" ,Proyectado "&amp;D15&amp;"/"&amp;C15)</f>
        <v>Informe 7 días ( 6 reales y 1 proyectado); Reales del 5/2 al 10/2 ,Proyectado 11/2</v>
      </c>
      <c r="R15" s="32"/>
    </row>
    <row r="16" spans="1:18" ht="39.75" customHeight="1" x14ac:dyDescent="0.35">
      <c r="A16" s="14">
        <f>+MONTH(L15)</f>
        <v>2</v>
      </c>
      <c r="B16" s="14">
        <f>+DAY(L15)</f>
        <v>12</v>
      </c>
      <c r="C16" s="14">
        <f>+MONTH(K16)</f>
        <v>2</v>
      </c>
      <c r="D16" s="14">
        <f>+DAY(K16)</f>
        <v>18</v>
      </c>
      <c r="E16" s="15">
        <f t="shared" si="9"/>
        <v>7</v>
      </c>
      <c r="F16" s="14">
        <f>1+F15</f>
        <v>7</v>
      </c>
      <c r="H16" s="9">
        <f t="shared" si="10"/>
        <v>46</v>
      </c>
      <c r="I16" s="9">
        <f t="shared" ref="I16:N16" si="13">+H16+1</f>
        <v>47</v>
      </c>
      <c r="J16" s="9">
        <f t="shared" si="13"/>
        <v>48</v>
      </c>
      <c r="K16" s="9">
        <f t="shared" si="13"/>
        <v>49</v>
      </c>
      <c r="L16" s="8">
        <f t="shared" si="13"/>
        <v>50</v>
      </c>
      <c r="M16" s="8">
        <f t="shared" si="13"/>
        <v>51</v>
      </c>
      <c r="N16" s="8">
        <f t="shared" si="13"/>
        <v>52</v>
      </c>
      <c r="P16" s="20">
        <f t="shared" si="12"/>
        <v>44246</v>
      </c>
      <c r="Q16" s="21" t="str">
        <f t="shared" ref="Q16:Q17" si="14">IF(A16=C16,"Informe "&amp;D16-B16+1&amp;" días ( "&amp;D16-B16&amp;" reales y 1 proyectado); Reales del "&amp;B16&amp;"/"&amp;C16&amp;" al "&amp;D16-1&amp;"/"&amp;A16&amp;" ,Proyectado "&amp;D16&amp;"/"&amp;A16,"Informe "&amp;DAY(EOMONTH(K16,0))-B16+D16+1&amp;" días ( "&amp;DAY(EOMONTH(K16,0))-B16+D16&amp;" reales y 1 proyectado); Reales del "&amp;B16&amp;"/"&amp;A16&amp;" al "&amp;D16-1&amp;"/"&amp;C16&amp;" ,Proyectado "&amp;D16&amp;"/"&amp;C16)</f>
        <v>Informe 7 días ( 6 reales y 1 proyectado); Reales del 12/2 al 17/2 ,Proyectado 18/2</v>
      </c>
      <c r="R16" s="32"/>
    </row>
    <row r="17" spans="1:18" ht="39.75" customHeight="1" x14ac:dyDescent="0.35">
      <c r="A17" s="14">
        <f>+MONTH(L16)</f>
        <v>2</v>
      </c>
      <c r="B17" s="14">
        <f>+DAY(L16)</f>
        <v>19</v>
      </c>
      <c r="C17" s="14">
        <f>+MONTH(K17)</f>
        <v>2</v>
      </c>
      <c r="D17" s="14">
        <f>+DAY(K17)</f>
        <v>25</v>
      </c>
      <c r="E17" s="15">
        <f>IF(A17=C17,D17-B17+1,DAY(EOMONTH(I16,0))-B17+D17+1)</f>
        <v>7</v>
      </c>
      <c r="F17" s="14">
        <f t="shared" ref="F17" si="15">1+F16</f>
        <v>8</v>
      </c>
      <c r="H17" s="8">
        <f t="shared" si="10"/>
        <v>53</v>
      </c>
      <c r="I17" s="8">
        <f t="shared" ref="I17:N17" si="16">+H17+1</f>
        <v>54</v>
      </c>
      <c r="J17" s="8">
        <f t="shared" si="16"/>
        <v>55</v>
      </c>
      <c r="K17" s="8">
        <f t="shared" si="16"/>
        <v>56</v>
      </c>
      <c r="L17" s="9">
        <f t="shared" si="16"/>
        <v>57</v>
      </c>
      <c r="M17" s="9">
        <f t="shared" si="16"/>
        <v>58</v>
      </c>
      <c r="N17" s="9">
        <f t="shared" si="16"/>
        <v>59</v>
      </c>
      <c r="P17" s="20">
        <f>DATE(2021,C17,D17+1)</f>
        <v>44253</v>
      </c>
      <c r="Q17" s="21" t="str">
        <f t="shared" si="14"/>
        <v>Informe 7 días ( 6 reales y 1 proyectado); Reales del 19/2 al 24/2 ,Proyectado 25/2</v>
      </c>
      <c r="R17" s="32"/>
    </row>
    <row r="18" spans="1:18" x14ac:dyDescent="0.35">
      <c r="H18" s="5"/>
      <c r="I18" s="5"/>
      <c r="J18" s="5"/>
      <c r="K18" s="5"/>
      <c r="L18" s="5"/>
      <c r="M18" s="5"/>
      <c r="N18" s="5"/>
      <c r="O18" s="5"/>
    </row>
    <row r="19" spans="1:18" x14ac:dyDescent="0.35">
      <c r="A19" s="14" t="s">
        <v>20</v>
      </c>
      <c r="C19" s="14" t="s">
        <v>21</v>
      </c>
      <c r="E19" s="15" t="s">
        <v>44</v>
      </c>
      <c r="F19" s="14" t="s">
        <v>45</v>
      </c>
      <c r="H19" s="44" t="s">
        <v>8</v>
      </c>
      <c r="I19" s="44"/>
      <c r="J19" s="44"/>
      <c r="K19" s="44"/>
      <c r="L19" s="44"/>
      <c r="M19" s="44"/>
      <c r="N19" s="44"/>
      <c r="O19" s="5"/>
      <c r="P19" s="26" t="s">
        <v>50</v>
      </c>
      <c r="Q19" s="27" t="s">
        <v>46</v>
      </c>
      <c r="R19" s="27" t="s">
        <v>47</v>
      </c>
    </row>
    <row r="20" spans="1:18" x14ac:dyDescent="0.35">
      <c r="A20" s="14" t="s">
        <v>19</v>
      </c>
      <c r="B20" s="14" t="s">
        <v>18</v>
      </c>
      <c r="C20" s="14" t="s">
        <v>19</v>
      </c>
      <c r="D20" s="14" t="s">
        <v>18</v>
      </c>
      <c r="H20" s="4" t="s">
        <v>0</v>
      </c>
      <c r="I20" s="4" t="s">
        <v>1</v>
      </c>
      <c r="J20" s="4" t="s">
        <v>1</v>
      </c>
      <c r="K20" s="4" t="s">
        <v>2</v>
      </c>
      <c r="L20" s="4" t="s">
        <v>3</v>
      </c>
      <c r="M20" s="4" t="s">
        <v>4</v>
      </c>
      <c r="N20" s="4" t="s">
        <v>5</v>
      </c>
    </row>
    <row r="21" spans="1:18" ht="39.75" customHeight="1" x14ac:dyDescent="0.35">
      <c r="A21" s="14">
        <f>+MONTH(L17)</f>
        <v>2</v>
      </c>
      <c r="B21" s="14">
        <f>+DAY(L17)</f>
        <v>26</v>
      </c>
      <c r="C21" s="14">
        <f>+MONTH(K21)</f>
        <v>3</v>
      </c>
      <c r="D21" s="14">
        <f>+DAY(K21)</f>
        <v>4</v>
      </c>
      <c r="E21" s="15">
        <f>IF(A21=C21,D21-B21+1,DAY(EOMONTH(I17,0))-B21+D21+1)</f>
        <v>7</v>
      </c>
      <c r="F21" s="14">
        <f>F17+1</f>
        <v>9</v>
      </c>
      <c r="H21" s="9">
        <v>44256</v>
      </c>
      <c r="I21" s="9">
        <f t="shared" ref="I21:N24" si="17">+H21+1</f>
        <v>44257</v>
      </c>
      <c r="J21" s="9">
        <f t="shared" si="17"/>
        <v>44258</v>
      </c>
      <c r="K21" s="9">
        <f t="shared" si="17"/>
        <v>44259</v>
      </c>
      <c r="L21" s="8">
        <f t="shared" si="17"/>
        <v>44260</v>
      </c>
      <c r="M21" s="8">
        <f t="shared" si="17"/>
        <v>44261</v>
      </c>
      <c r="N21" s="8">
        <f t="shared" si="17"/>
        <v>44262</v>
      </c>
      <c r="P21" s="20">
        <f t="shared" ref="P21:P23" si="18">DATE(2021,C21,D21+1)</f>
        <v>44260</v>
      </c>
      <c r="Q21" s="21" t="str">
        <f>IF(A21=C21,"Informe "&amp;D21-B21+1&amp;" días ( "&amp;D21-B21&amp;" reales y 1 proyectado); Reales del "&amp;B21&amp;"/"&amp;C21&amp;" al "&amp;D21-1&amp;"/"&amp;A21&amp;" ,Proyectado "&amp;D21&amp;"/"&amp;A21,"Informe "&amp;DAY(EOMONTH(K17,0))-B21+D21+1&amp;" días ( "&amp;DAY(EOMONTH(K17,0))-B21+D21&amp;" reales y 1 proyectado); Reales del "&amp;B21&amp;"/"&amp;A21&amp;" al "&amp;D21-1&amp;"/"&amp;C21&amp;" ,Proyectado "&amp;D21&amp;"/"&amp;C21)</f>
        <v>Informe 7 días ( 6 reales y 1 proyectado); Reales del 26/2 al 3/3 ,Proyectado 4/3</v>
      </c>
      <c r="R21" s="21"/>
    </row>
    <row r="22" spans="1:18" ht="39.75" customHeight="1" x14ac:dyDescent="0.35">
      <c r="A22" s="14">
        <f>+MONTH(L21)</f>
        <v>3</v>
      </c>
      <c r="B22" s="14">
        <f>+DAY(L21)</f>
        <v>5</v>
      </c>
      <c r="C22" s="14">
        <f>+MONTH(K22)</f>
        <v>3</v>
      </c>
      <c r="D22" s="14">
        <f>+DAY(K22)</f>
        <v>11</v>
      </c>
      <c r="E22" s="15">
        <f t="shared" ref="E22:E23" si="19">IF(A22=C22,D22-B22+1,DAY(EOMONTH(I22,0))-B22+D22+1)</f>
        <v>7</v>
      </c>
      <c r="F22" s="14">
        <f>1+F21</f>
        <v>10</v>
      </c>
      <c r="H22" s="8">
        <f>1+N21</f>
        <v>44263</v>
      </c>
      <c r="I22" s="8">
        <f t="shared" si="17"/>
        <v>44264</v>
      </c>
      <c r="J22" s="8">
        <f t="shared" si="17"/>
        <v>44265</v>
      </c>
      <c r="K22" s="8">
        <f t="shared" si="17"/>
        <v>44266</v>
      </c>
      <c r="L22" s="9">
        <f t="shared" si="17"/>
        <v>44267</v>
      </c>
      <c r="M22" s="9">
        <f t="shared" si="17"/>
        <v>44268</v>
      </c>
      <c r="N22" s="9">
        <f t="shared" si="17"/>
        <v>44269</v>
      </c>
      <c r="O22" s="3"/>
      <c r="P22" s="20">
        <f t="shared" si="18"/>
        <v>44267</v>
      </c>
      <c r="Q22" s="21" t="str">
        <f>IF(A22=C22,"Informe "&amp;D22-B22+1&amp;" días ( "&amp;D22-B22&amp;" reales y 1 proyectado); Reales del "&amp;B22&amp;"/"&amp;C22&amp;" al "&amp;D22-1&amp;"/"&amp;A22&amp;" ,Proyectado "&amp;D22&amp;"/"&amp;A22,"Informe "&amp;DAY(EOMONTH(K22,0))-B22+D22+1&amp;" días ( "&amp;DAY(EOMONTH(K22,0))-B22+D22&amp;" reales y 1 proyectado); Reales del "&amp;B22&amp;"/"&amp;A22&amp;" al "&amp;D22-1&amp;"/"&amp;C22&amp;" ,Proyectado "&amp;D22&amp;"/"&amp;C22)</f>
        <v>Informe 7 días ( 6 reales y 1 proyectado); Reales del 5/3 al 10/3 ,Proyectado 11/3</v>
      </c>
      <c r="R22" s="32"/>
    </row>
    <row r="23" spans="1:18" ht="39.75" customHeight="1" x14ac:dyDescent="0.35">
      <c r="A23" s="14">
        <f>+MONTH(L22)</f>
        <v>3</v>
      </c>
      <c r="B23" s="14">
        <f>+DAY(L22)</f>
        <v>12</v>
      </c>
      <c r="C23" s="14">
        <f>+MONTH(K23)</f>
        <v>3</v>
      </c>
      <c r="D23" s="14">
        <f>+DAY(K23)</f>
        <v>18</v>
      </c>
      <c r="E23" s="15">
        <f t="shared" si="19"/>
        <v>7</v>
      </c>
      <c r="F23" s="14">
        <f>1+F22</f>
        <v>11</v>
      </c>
      <c r="H23" s="9">
        <f>1+N22</f>
        <v>44270</v>
      </c>
      <c r="I23" s="9">
        <f t="shared" si="17"/>
        <v>44271</v>
      </c>
      <c r="J23" s="9">
        <f t="shared" si="17"/>
        <v>44272</v>
      </c>
      <c r="K23" s="9">
        <f t="shared" si="17"/>
        <v>44273</v>
      </c>
      <c r="L23" s="8">
        <f t="shared" si="17"/>
        <v>44274</v>
      </c>
      <c r="M23" s="8">
        <f t="shared" si="17"/>
        <v>44275</v>
      </c>
      <c r="N23" s="8">
        <f t="shared" si="17"/>
        <v>44276</v>
      </c>
      <c r="P23" s="20">
        <f t="shared" si="18"/>
        <v>44274</v>
      </c>
      <c r="Q23" s="21" t="str">
        <f t="shared" ref="Q23:Q24" si="20">IF(A23=C23,"Informe "&amp;D23-B23+1&amp;" días ( "&amp;D23-B23&amp;" reales y 1 proyectado); Reales del "&amp;B23&amp;"/"&amp;C23&amp;" al "&amp;D23-1&amp;"/"&amp;A23&amp;" ,Proyectado "&amp;D23&amp;"/"&amp;A23,"Informe "&amp;DAY(EOMONTH(K23,0))-B23+D23+1&amp;" días ( "&amp;DAY(EOMONTH(K23,0))-B23+D23&amp;" reales y 1 proyectado); Reales del "&amp;B23&amp;"/"&amp;A23&amp;" al "&amp;D23-1&amp;"/"&amp;C23&amp;" ,Proyectado "&amp;D23&amp;"/"&amp;C23)</f>
        <v>Informe 7 días ( 6 reales y 1 proyectado); Reales del 12/3 al 17/3 ,Proyectado 18/3</v>
      </c>
      <c r="R23" s="32"/>
    </row>
    <row r="24" spans="1:18" ht="39.75" customHeight="1" x14ac:dyDescent="0.35">
      <c r="A24" s="14">
        <f>+MONTH(L23)</f>
        <v>3</v>
      </c>
      <c r="B24" s="14">
        <f>+DAY(L23)</f>
        <v>19</v>
      </c>
      <c r="C24" s="14">
        <f>+MONTH(K24)</f>
        <v>3</v>
      </c>
      <c r="D24" s="14">
        <f>+DAY(K24)</f>
        <v>25</v>
      </c>
      <c r="E24" s="15">
        <f>IF(A24=C24,D24-B24+1,DAY(EOMONTH(I23,0))-B24+D24+1)</f>
        <v>7</v>
      </c>
      <c r="F24" s="14">
        <f t="shared" ref="F24" si="21">1+F23</f>
        <v>12</v>
      </c>
      <c r="H24" s="8">
        <f>1+N23</f>
        <v>44277</v>
      </c>
      <c r="I24" s="8">
        <f t="shared" si="17"/>
        <v>44278</v>
      </c>
      <c r="J24" s="8">
        <f t="shared" si="17"/>
        <v>44279</v>
      </c>
      <c r="K24" s="8">
        <f t="shared" si="17"/>
        <v>44280</v>
      </c>
      <c r="L24" s="9">
        <f t="shared" si="17"/>
        <v>44281</v>
      </c>
      <c r="M24" s="9">
        <f t="shared" si="17"/>
        <v>44282</v>
      </c>
      <c r="N24" s="9">
        <f t="shared" si="17"/>
        <v>44283</v>
      </c>
      <c r="P24" s="20">
        <f>DATE(2021,C24,D24+1)</f>
        <v>44281</v>
      </c>
      <c r="Q24" s="21" t="str">
        <f t="shared" si="20"/>
        <v>Informe 7 días ( 6 reales y 1 proyectado); Reales del 19/3 al 24/3 ,Proyectado 25/3</v>
      </c>
      <c r="R24" s="32"/>
    </row>
    <row r="25" spans="1:18" ht="39.75" customHeight="1" x14ac:dyDescent="0.35">
      <c r="H25" s="9">
        <f>1+N24</f>
        <v>44284</v>
      </c>
      <c r="I25" s="9">
        <f>+H25+1</f>
        <v>44285</v>
      </c>
      <c r="J25" s="9">
        <f>+I25+1</f>
        <v>44286</v>
      </c>
      <c r="K25" s="6"/>
      <c r="L25" s="6"/>
      <c r="M25" s="6"/>
      <c r="N25" s="6"/>
      <c r="P25" s="20"/>
      <c r="Q25" s="21"/>
      <c r="R25" s="32"/>
    </row>
    <row r="26" spans="1:18" ht="39.75" customHeight="1" x14ac:dyDescent="0.35">
      <c r="P26" s="28"/>
    </row>
    <row r="28" spans="1:18" x14ac:dyDescent="0.35">
      <c r="A28" s="14" t="s">
        <v>20</v>
      </c>
      <c r="C28" s="14" t="s">
        <v>21</v>
      </c>
      <c r="E28" s="15" t="s">
        <v>44</v>
      </c>
      <c r="F28" s="14" t="s">
        <v>45</v>
      </c>
      <c r="H28" s="44" t="s">
        <v>10</v>
      </c>
      <c r="I28" s="44"/>
      <c r="J28" s="44"/>
      <c r="K28" s="44"/>
      <c r="L28" s="44"/>
      <c r="M28" s="44"/>
      <c r="N28" s="44"/>
      <c r="O28" s="5"/>
      <c r="P28" s="26" t="s">
        <v>50</v>
      </c>
      <c r="Q28" s="27" t="s">
        <v>46</v>
      </c>
      <c r="R28" s="27" t="s">
        <v>47</v>
      </c>
    </row>
    <row r="29" spans="1:18" x14ac:dyDescent="0.35">
      <c r="A29" s="14" t="s">
        <v>19</v>
      </c>
      <c r="B29" s="14" t="s">
        <v>18</v>
      </c>
      <c r="C29" s="14" t="s">
        <v>19</v>
      </c>
      <c r="D29" s="14" t="s">
        <v>18</v>
      </c>
      <c r="H29" s="4" t="s">
        <v>0</v>
      </c>
      <c r="I29" s="4" t="s">
        <v>1</v>
      </c>
      <c r="J29" s="4" t="s">
        <v>1</v>
      </c>
      <c r="K29" s="4" t="s">
        <v>2</v>
      </c>
      <c r="L29" s="4" t="s">
        <v>3</v>
      </c>
      <c r="M29" s="4" t="s">
        <v>4</v>
      </c>
      <c r="N29" s="4" t="s">
        <v>5</v>
      </c>
    </row>
    <row r="30" spans="1:18" ht="39.75" customHeight="1" x14ac:dyDescent="0.35">
      <c r="A30" s="14">
        <f>+MONTH(L24)</f>
        <v>3</v>
      </c>
      <c r="B30" s="14">
        <f>+DAY(L24)</f>
        <v>26</v>
      </c>
      <c r="C30" s="14">
        <f>+MONTH(J25)</f>
        <v>3</v>
      </c>
      <c r="D30" s="14">
        <f>+DAY(J25)</f>
        <v>31</v>
      </c>
      <c r="E30" s="15">
        <f>IF(A30=C30,D30-B30+1,DAY(EOMONTH(I24,0))-B30+D30+1)</f>
        <v>6</v>
      </c>
      <c r="F30" s="14">
        <f>F24+1</f>
        <v>13</v>
      </c>
      <c r="H30" s="6"/>
      <c r="I30" s="6"/>
      <c r="J30" s="6"/>
      <c r="K30" s="8">
        <f>+J25+1</f>
        <v>44287</v>
      </c>
      <c r="L30" s="7">
        <f t="shared" ref="L30:N30" si="22">+K30+1</f>
        <v>44288</v>
      </c>
      <c r="M30" s="7">
        <f t="shared" si="22"/>
        <v>44289</v>
      </c>
      <c r="N30" s="7">
        <f t="shared" si="22"/>
        <v>44290</v>
      </c>
      <c r="O30" s="3"/>
      <c r="P30" s="20">
        <f>DATE(2021,C30,D30+1)</f>
        <v>44287</v>
      </c>
      <c r="Q30" s="21" t="str">
        <f>IF(A30=C30,"Informe "&amp;D30-B30+1&amp;" días ( "&amp;D30-B30&amp;" reales y 1 proyectado); Reales del "&amp;B30&amp;"/"&amp;C30&amp;" al "&amp;D30-1&amp;"/"&amp;A30&amp;" ,Proyectado "&amp;D30&amp;"/"&amp;A30,"Informe "&amp;DAY(EOMONTH(K24,0))-B30+D30+1&amp;" días ( "&amp;DAY(EOMONTH(K24,0))-B30+D30&amp;" reales y 1 proyectado); Reales del "&amp;B30&amp;"/"&amp;A30&amp;" al "&amp;D30-1&amp;"/"&amp;C30&amp;" ,Proyectado "&amp;D30&amp;"/"&amp;C30)</f>
        <v>Informe 6 días ( 5 reales y 1 proyectado); Reales del 26/3 al 30/3 ,Proyectado 31/3</v>
      </c>
      <c r="R30" s="32" t="s">
        <v>59</v>
      </c>
    </row>
    <row r="31" spans="1:18" ht="39.75" customHeight="1" x14ac:dyDescent="0.35">
      <c r="A31" s="14">
        <f>+MONTH(K30)</f>
        <v>4</v>
      </c>
      <c r="B31" s="14">
        <f>+DAY(K30)</f>
        <v>1</v>
      </c>
      <c r="C31" s="14">
        <f>+MONTH(K31)</f>
        <v>4</v>
      </c>
      <c r="D31" s="14">
        <f>+DAY(K31)</f>
        <v>8</v>
      </c>
      <c r="E31" s="15">
        <f t="shared" ref="E31:E34" si="23">IF(A31=C31,D31-B31+1,DAY(EOMONTH(I31,0))-B31+D31+1)</f>
        <v>8</v>
      </c>
      <c r="F31" s="14">
        <f>1+F30</f>
        <v>14</v>
      </c>
      <c r="H31" s="8">
        <f t="shared" ref="H31:H33" si="24">1+N30</f>
        <v>44291</v>
      </c>
      <c r="I31" s="8">
        <f t="shared" ref="I31:N31" si="25">+H31+1</f>
        <v>44292</v>
      </c>
      <c r="J31" s="8">
        <f t="shared" si="25"/>
        <v>44293</v>
      </c>
      <c r="K31" s="8">
        <f t="shared" si="25"/>
        <v>44294</v>
      </c>
      <c r="L31" s="9">
        <f t="shared" si="25"/>
        <v>44295</v>
      </c>
      <c r="M31" s="9">
        <f t="shared" si="25"/>
        <v>44296</v>
      </c>
      <c r="N31" s="9">
        <f t="shared" si="25"/>
        <v>44297</v>
      </c>
      <c r="P31" s="20">
        <f>DATE(2021,C31,D31+1)</f>
        <v>44295</v>
      </c>
      <c r="Q31" s="21" t="str">
        <f>IF(A31=C31,"Informe "&amp;D31-B31+1&amp;" días ( "&amp;D31-B31&amp;" reales y 1 proyectado); Reales del "&amp;B31&amp;"/"&amp;C31&amp;" al "&amp;D31-1&amp;"/"&amp;A31&amp;" ,Proyectado "&amp;D31&amp;"/"&amp;A31,"Informe "&amp;DAY(EOMONTH(K31,0))-B31+D31+1&amp;" días ( "&amp;DAY(EOMONTH(K31,0))-B31+D31&amp;" reales y 1 proyectado); Reales del "&amp;B31&amp;"/"&amp;A31&amp;" al "&amp;D31-1&amp;"/"&amp;C31&amp;" ,Proyectado "&amp;D31&amp;"/"&amp;C31)</f>
        <v>Informe 8 días ( 7 reales y 1 proyectado); Reales del 1/4 al 7/4 ,Proyectado 8/4</v>
      </c>
      <c r="R31" s="32" t="s">
        <v>60</v>
      </c>
    </row>
    <row r="32" spans="1:18" ht="39.75" customHeight="1" x14ac:dyDescent="0.35">
      <c r="A32" s="14">
        <f>+MONTH(L31)</f>
        <v>4</v>
      </c>
      <c r="B32" s="14">
        <f>+DAY(L31)</f>
        <v>9</v>
      </c>
      <c r="C32" s="14">
        <f>+MONTH(K32)</f>
        <v>4</v>
      </c>
      <c r="D32" s="14">
        <f>+DAY(K32)</f>
        <v>15</v>
      </c>
      <c r="E32" s="15">
        <f t="shared" si="23"/>
        <v>7</v>
      </c>
      <c r="F32" s="14">
        <f t="shared" ref="F32:F34" si="26">1+F31</f>
        <v>15</v>
      </c>
      <c r="H32" s="9">
        <f t="shared" si="24"/>
        <v>44298</v>
      </c>
      <c r="I32" s="9">
        <f t="shared" ref="I32:N34" si="27">+H32+1</f>
        <v>44299</v>
      </c>
      <c r="J32" s="9">
        <f t="shared" si="27"/>
        <v>44300</v>
      </c>
      <c r="K32" s="9">
        <f t="shared" si="27"/>
        <v>44301</v>
      </c>
      <c r="L32" s="8">
        <f t="shared" si="27"/>
        <v>44302</v>
      </c>
      <c r="M32" s="8">
        <f t="shared" si="27"/>
        <v>44303</v>
      </c>
      <c r="N32" s="8">
        <f t="shared" si="27"/>
        <v>44304</v>
      </c>
      <c r="P32" s="20">
        <f>DATE(2021,C32,D32+1)</f>
        <v>44302</v>
      </c>
      <c r="Q32" s="21" t="str">
        <f>IF(A32=C32,"Informe "&amp;D32-B32+1&amp;" días ( "&amp;D32-B32&amp;" reales y 1 proyectado); Reales del "&amp;B32&amp;"/"&amp;C32&amp;" al "&amp;D32-1&amp;"/"&amp;A32&amp;" ,Proyectado "&amp;D32&amp;"/"&amp;A32,"Informe "&amp;DAY(EOMONTH(K32,0))-B32+D32+1&amp;" días ( "&amp;DAY(EOMONTH(K32,0))-B32+D32&amp;" reales y 1 proyectado); Reales del "&amp;B32&amp;"/"&amp;A32&amp;" al "&amp;D32-1&amp;"/"&amp;C32&amp;" ,Proyectado "&amp;D32&amp;"/"&amp;C32)</f>
        <v>Informe 7 días ( 6 reales y 1 proyectado); Reales del 9/4 al 14/4 ,Proyectado 15/4</v>
      </c>
      <c r="R32" s="32" t="s">
        <v>61</v>
      </c>
    </row>
    <row r="33" spans="1:18" ht="39.75" customHeight="1" x14ac:dyDescent="0.35">
      <c r="A33" s="14">
        <f>+MONTH(L32)</f>
        <v>4</v>
      </c>
      <c r="B33" s="14">
        <f>+DAY(L32)</f>
        <v>16</v>
      </c>
      <c r="C33" s="14">
        <f>+MONTH(K33)</f>
        <v>4</v>
      </c>
      <c r="D33" s="14">
        <f>+DAY(K33)</f>
        <v>22</v>
      </c>
      <c r="E33" s="15">
        <f t="shared" si="23"/>
        <v>7</v>
      </c>
      <c r="F33" s="14">
        <f t="shared" si="26"/>
        <v>16</v>
      </c>
      <c r="H33" s="8">
        <f t="shared" si="24"/>
        <v>44305</v>
      </c>
      <c r="I33" s="8">
        <f t="shared" si="27"/>
        <v>44306</v>
      </c>
      <c r="J33" s="8">
        <f t="shared" si="27"/>
        <v>44307</v>
      </c>
      <c r="K33" s="8">
        <f t="shared" si="27"/>
        <v>44308</v>
      </c>
      <c r="L33" s="9">
        <f t="shared" si="27"/>
        <v>44309</v>
      </c>
      <c r="M33" s="9">
        <f t="shared" si="27"/>
        <v>44310</v>
      </c>
      <c r="N33" s="9">
        <f t="shared" si="27"/>
        <v>44311</v>
      </c>
      <c r="P33" s="20">
        <f t="shared" ref="P33:P34" si="28">DATE(2021,C33,D33+1)</f>
        <v>44309</v>
      </c>
      <c r="Q33" s="21" t="str">
        <f>IF(A33=C33,"Informe "&amp;D33-B33+1&amp;" días ( "&amp;D33-B33&amp;" reales y 1 proyectado); Reales del "&amp;B33&amp;"/"&amp;C33&amp;" al "&amp;D33-1&amp;"/"&amp;A33&amp;" ,Proyectado "&amp;D33&amp;"/"&amp;A33,"Informe "&amp;DAY(EOMONTH(K33,0))-B33+D33+1&amp;" días ( "&amp;DAY(EOMONTH(K33,0))-B33+D33&amp;" reales y 1 proyectado); Reales del "&amp;B33&amp;"/"&amp;A33&amp;" al "&amp;D33-1&amp;"/"&amp;C33&amp;" ,Proyectado "&amp;D33&amp;"/"&amp;C33)</f>
        <v>Informe 7 días ( 6 reales y 1 proyectado); Reales del 16/4 al 21/4 ,Proyectado 22/4</v>
      </c>
      <c r="R33" s="32"/>
    </row>
    <row r="34" spans="1:18" ht="39.75" customHeight="1" x14ac:dyDescent="0.35">
      <c r="A34" s="14">
        <f>+MONTH(L33)</f>
        <v>4</v>
      </c>
      <c r="B34" s="14">
        <f>+DAY(L33)</f>
        <v>23</v>
      </c>
      <c r="C34" s="14">
        <f>+MONTH(J34)</f>
        <v>4</v>
      </c>
      <c r="D34" s="14">
        <f>+DAY(K34)</f>
        <v>29</v>
      </c>
      <c r="E34" s="15">
        <f t="shared" si="23"/>
        <v>7</v>
      </c>
      <c r="F34" s="14">
        <f t="shared" si="26"/>
        <v>17</v>
      </c>
      <c r="H34" s="9">
        <f t="shared" ref="H34" si="29">1+N33</f>
        <v>44312</v>
      </c>
      <c r="I34" s="9">
        <f t="shared" si="27"/>
        <v>44313</v>
      </c>
      <c r="J34" s="9">
        <f>+I34+1</f>
        <v>44314</v>
      </c>
      <c r="K34" s="9">
        <v>44315</v>
      </c>
      <c r="L34" s="8">
        <v>44316</v>
      </c>
      <c r="M34" s="6"/>
      <c r="N34" s="6"/>
      <c r="P34" s="20">
        <f t="shared" si="28"/>
        <v>44316</v>
      </c>
      <c r="Q34" s="21" t="str">
        <f>IF(A34=C34,"Informe "&amp;D34-B34+1&amp;" días ( "&amp;D34-B34&amp;" reales y 1 proyectado); Reales del "&amp;B34&amp;"/"&amp;C34&amp;" al "&amp;D34-1&amp;"/"&amp;A34&amp;" ,Proyectado "&amp;D34&amp;"/"&amp;A34,"Informe "&amp;DAY(EOMONTH(K34,0))-B34+D34+1&amp;" días ( "&amp;DAY(EOMONTH(K34,0))-B34+D34&amp;" reales y 1 proyectado); Reales del "&amp;B34&amp;"/"&amp;A34&amp;" al "&amp;D34-1&amp;"/"&amp;C34&amp;" ,Proyectado "&amp;D34&amp;"/"&amp;C34)</f>
        <v>Informe 7 días ( 6 reales y 1 proyectado); Reales del 23/4 al 28/4 ,Proyectado 29/4</v>
      </c>
      <c r="R34" s="32"/>
    </row>
    <row r="35" spans="1:18" x14ac:dyDescent="0.35">
      <c r="R35" s="33"/>
    </row>
    <row r="36" spans="1:18" x14ac:dyDescent="0.35">
      <c r="A36" s="14" t="s">
        <v>20</v>
      </c>
      <c r="C36" s="14" t="s">
        <v>21</v>
      </c>
      <c r="E36" s="15" t="s">
        <v>44</v>
      </c>
      <c r="F36" s="14" t="s">
        <v>45</v>
      </c>
      <c r="H36" s="44" t="s">
        <v>9</v>
      </c>
      <c r="I36" s="44"/>
      <c r="J36" s="44"/>
      <c r="K36" s="44"/>
      <c r="L36" s="44"/>
      <c r="M36" s="44"/>
      <c r="N36" s="44"/>
      <c r="O36" s="3"/>
      <c r="P36" s="26" t="s">
        <v>50</v>
      </c>
      <c r="Q36" s="27" t="s">
        <v>46</v>
      </c>
      <c r="R36" s="27" t="s">
        <v>47</v>
      </c>
    </row>
    <row r="37" spans="1:18" x14ac:dyDescent="0.35">
      <c r="A37" s="14" t="s">
        <v>19</v>
      </c>
      <c r="B37" s="14" t="s">
        <v>18</v>
      </c>
      <c r="C37" s="14" t="s">
        <v>19</v>
      </c>
      <c r="D37" s="14" t="s">
        <v>18</v>
      </c>
      <c r="H37" s="4" t="s">
        <v>0</v>
      </c>
      <c r="I37" s="4" t="s">
        <v>1</v>
      </c>
      <c r="J37" s="4" t="s">
        <v>1</v>
      </c>
      <c r="K37" s="4" t="s">
        <v>2</v>
      </c>
      <c r="L37" s="4" t="s">
        <v>3</v>
      </c>
      <c r="M37" s="4" t="s">
        <v>4</v>
      </c>
      <c r="N37" s="4" t="s">
        <v>5</v>
      </c>
    </row>
    <row r="38" spans="1:18" ht="39.75" customHeight="1" x14ac:dyDescent="0.35">
      <c r="H38" s="6"/>
      <c r="I38" s="6"/>
      <c r="J38" s="6"/>
      <c r="K38" s="6"/>
      <c r="L38" s="6"/>
      <c r="M38" s="7">
        <f>+L34+1</f>
        <v>44317</v>
      </c>
      <c r="N38" s="8">
        <f t="shared" ref="N38" si="30">+M38+1</f>
        <v>44318</v>
      </c>
      <c r="O38" s="3"/>
      <c r="P38" s="20"/>
      <c r="Q38" s="21"/>
      <c r="R38" s="32" t="s">
        <v>62</v>
      </c>
    </row>
    <row r="39" spans="1:18" ht="39.75" customHeight="1" x14ac:dyDescent="0.35">
      <c r="A39" s="14">
        <f>+MONTH(K34)</f>
        <v>4</v>
      </c>
      <c r="B39" s="14">
        <f>+DAY(L34)</f>
        <v>30</v>
      </c>
      <c r="C39" s="14">
        <f>+MONTH(K39)</f>
        <v>5</v>
      </c>
      <c r="D39" s="14">
        <f>+DAY(K39)</f>
        <v>6</v>
      </c>
      <c r="E39" s="15">
        <f>IF(A39=C39,D39-B39+1,DAY(EOMONTH(I34,0))-B39+D39+1)</f>
        <v>7</v>
      </c>
      <c r="F39" s="14">
        <f>1+F34</f>
        <v>18</v>
      </c>
      <c r="H39" s="8">
        <f t="shared" ref="H39:H41" si="31">1+N38</f>
        <v>44319</v>
      </c>
      <c r="I39" s="8">
        <f t="shared" ref="I39:N41" si="32">+H39+1</f>
        <v>44320</v>
      </c>
      <c r="J39" s="8">
        <f t="shared" si="32"/>
        <v>44321</v>
      </c>
      <c r="K39" s="8">
        <f t="shared" si="32"/>
        <v>44322</v>
      </c>
      <c r="L39" s="9">
        <f t="shared" si="32"/>
        <v>44323</v>
      </c>
      <c r="M39" s="9">
        <f t="shared" si="32"/>
        <v>44324</v>
      </c>
      <c r="N39" s="9">
        <f t="shared" si="32"/>
        <v>44325</v>
      </c>
      <c r="P39" s="20">
        <f>DATE(2021,C39,D39+1)</f>
        <v>44323</v>
      </c>
      <c r="Q39" s="21" t="str">
        <f>IF(A39=C39,"Informe "&amp;D39-B39+1&amp;" días ( "&amp;D39-B39&amp;" reales y 1 proyectado); Reales del "&amp;B39&amp;"/"&amp;C39&amp;" al "&amp;D39-1&amp;"/"&amp;A39&amp;" ,Proyectado "&amp;D39&amp;"/"&amp;A39,"Informe "&amp;DAY(EOMONTH(K33,0))-B39+D39+1&amp;" días ( "&amp;DAY(EOMONTH(K33,0))-B39+D39&amp;" reales y 1 proyectado); Reales del "&amp;B39&amp;"/"&amp;A39&amp;" al "&amp;D39-1&amp;"/"&amp;C39&amp;" ,Proyectado "&amp;D39&amp;"/"&amp;C39)</f>
        <v>Informe 7 días ( 6 reales y 1 proyectado); Reales del 30/4 al 5/5 ,Proyectado 6/5</v>
      </c>
      <c r="R39" s="32"/>
    </row>
    <row r="40" spans="1:18" ht="39.75" customHeight="1" x14ac:dyDescent="0.35">
      <c r="A40" s="14">
        <f>+MONTH(L39)</f>
        <v>5</v>
      </c>
      <c r="B40" s="14">
        <f>+DAY(L39)</f>
        <v>7</v>
      </c>
      <c r="C40" s="14">
        <f>+MONTH(K40)</f>
        <v>5</v>
      </c>
      <c r="D40" s="14">
        <f>+DAY(K40)</f>
        <v>13</v>
      </c>
      <c r="E40" s="15">
        <f t="shared" ref="E40:E42" si="33">IF(A40=C40,D40-B40+1,DAY(EOMONTH(I40,0))-B40+D40+1)</f>
        <v>7</v>
      </c>
      <c r="F40" s="14">
        <f t="shared" ref="F40:F42" si="34">1+F39</f>
        <v>19</v>
      </c>
      <c r="H40" s="9">
        <f t="shared" si="31"/>
        <v>44326</v>
      </c>
      <c r="I40" s="9">
        <f t="shared" ref="I40:N42" si="35">+H40+1</f>
        <v>44327</v>
      </c>
      <c r="J40" s="9">
        <f t="shared" si="35"/>
        <v>44328</v>
      </c>
      <c r="K40" s="9">
        <f t="shared" si="35"/>
        <v>44329</v>
      </c>
      <c r="L40" s="8">
        <f t="shared" si="35"/>
        <v>44330</v>
      </c>
      <c r="M40" s="8">
        <f t="shared" si="35"/>
        <v>44331</v>
      </c>
      <c r="N40" s="8">
        <f t="shared" si="35"/>
        <v>44332</v>
      </c>
      <c r="P40" s="20">
        <f t="shared" ref="P40:P41" si="36">DATE(2021,C40,D40+1)</f>
        <v>44330</v>
      </c>
      <c r="Q40" s="21" t="str">
        <f>IF(A40=C40,"Informe "&amp;D40-B40+1&amp;" días ( "&amp;D40-B40&amp;" reales y 1 proyectado); Reales del "&amp;B40&amp;"/"&amp;C40&amp;" al "&amp;D40-1&amp;"/"&amp;A40&amp;" ,Proyectado "&amp;D40&amp;"/"&amp;A40,"Informe "&amp;DAY(EOMONTH(K40,0))-B40+D40+1&amp;" días ( "&amp;DAY(EOMONTH(K40,0))-B40+D40&amp;" reales y 1 proyectado); Reales del "&amp;B40&amp;"/"&amp;A40&amp;" al "&amp;D40-1&amp;"/"&amp;C40&amp;" ,Proyectado "&amp;D40&amp;"/"&amp;C40)</f>
        <v>Informe 7 días ( 6 reales y 1 proyectado); Reales del 7/5 al 12/5 ,Proyectado 13/5</v>
      </c>
      <c r="R40" s="32"/>
    </row>
    <row r="41" spans="1:18" ht="39.75" customHeight="1" x14ac:dyDescent="0.35">
      <c r="A41" s="14">
        <f>+MONTH(L40)</f>
        <v>5</v>
      </c>
      <c r="B41" s="14">
        <f>+DAY(L40)</f>
        <v>14</v>
      </c>
      <c r="C41" s="14">
        <f>+MONTH(K41)</f>
        <v>5</v>
      </c>
      <c r="D41" s="14">
        <f>+DAY(J41)</f>
        <v>19</v>
      </c>
      <c r="E41" s="15">
        <f t="shared" si="33"/>
        <v>6</v>
      </c>
      <c r="F41" s="14">
        <f t="shared" si="34"/>
        <v>20</v>
      </c>
      <c r="H41" s="8">
        <f t="shared" si="31"/>
        <v>44333</v>
      </c>
      <c r="I41" s="8">
        <f t="shared" si="35"/>
        <v>44334</v>
      </c>
      <c r="J41" s="8">
        <f t="shared" si="35"/>
        <v>44335</v>
      </c>
      <c r="K41" s="9">
        <f t="shared" si="35"/>
        <v>44336</v>
      </c>
      <c r="L41" s="7">
        <f t="shared" si="32"/>
        <v>44337</v>
      </c>
      <c r="M41" s="9">
        <f t="shared" si="32"/>
        <v>44338</v>
      </c>
      <c r="N41" s="9">
        <f t="shared" si="32"/>
        <v>44339</v>
      </c>
      <c r="P41" s="20">
        <f t="shared" si="36"/>
        <v>44336</v>
      </c>
      <c r="Q41" s="21" t="str">
        <f>IF(A41=C41,"Informe "&amp;D41-B41+1&amp;" días ( "&amp;D41-B41&amp;" reales y 1 proyectado); Reales del "&amp;B41&amp;"/"&amp;C41&amp;" al "&amp;D41-1&amp;"/"&amp;A41&amp;" ,Proyectado "&amp;D41&amp;"/"&amp;A41,"Informe "&amp;DAY(EOMONTH(K41,0))-B41+D41+1&amp;" días ( "&amp;DAY(EOMONTH(K41,0))-B41+D41&amp;" reales y 1 proyectado); Reales del "&amp;B41&amp;"/"&amp;A41&amp;" al "&amp;D41-1&amp;"/"&amp;C41&amp;" ,Proyectado "&amp;D41&amp;"/"&amp;C41)</f>
        <v>Informe 6 días ( 5 reales y 1 proyectado); Reales del 14/5 al 18/5 ,Proyectado 19/5</v>
      </c>
      <c r="R41" s="32" t="s">
        <v>63</v>
      </c>
    </row>
    <row r="42" spans="1:18" ht="39.75" customHeight="1" x14ac:dyDescent="0.35">
      <c r="A42" s="14">
        <f>+MONTH(J41)</f>
        <v>5</v>
      </c>
      <c r="B42" s="14">
        <f>+DAY(K41)</f>
        <v>20</v>
      </c>
      <c r="C42" s="14">
        <f>+MONTH(K42)</f>
        <v>5</v>
      </c>
      <c r="D42" s="14">
        <f>+DAY(K42)</f>
        <v>27</v>
      </c>
      <c r="E42" s="15">
        <f t="shared" si="33"/>
        <v>8</v>
      </c>
      <c r="F42" s="14">
        <f t="shared" si="34"/>
        <v>21</v>
      </c>
      <c r="H42" s="9">
        <f t="shared" ref="H42" si="37">1+N41</f>
        <v>44340</v>
      </c>
      <c r="I42" s="9">
        <f t="shared" si="35"/>
        <v>44341</v>
      </c>
      <c r="J42" s="9">
        <f t="shared" si="35"/>
        <v>44342</v>
      </c>
      <c r="K42" s="9">
        <f t="shared" si="35"/>
        <v>44343</v>
      </c>
      <c r="L42" s="8">
        <f t="shared" si="35"/>
        <v>44344</v>
      </c>
      <c r="M42" s="8">
        <f t="shared" si="35"/>
        <v>44345</v>
      </c>
      <c r="N42" s="8">
        <f t="shared" si="35"/>
        <v>44346</v>
      </c>
      <c r="P42" s="20">
        <f>DATE(2021,C42,D42+1)</f>
        <v>44344</v>
      </c>
      <c r="Q42" s="21" t="str">
        <f>IF(A42=C42,"Informe "&amp;D42-B42+1&amp;" días ( "&amp;D42-B42&amp;" reales y 1 proyectado); Reales del "&amp;B42&amp;"/"&amp;C42&amp;" al "&amp;D42-1&amp;"/"&amp;A42&amp;" ,Proyectado "&amp;D42&amp;"/"&amp;A42,"Informe "&amp;DAY(EOMONTH(K42,0))-B42+D42+1&amp;" días ( "&amp;DAY(EOMONTH(K42,0))-B42+D42&amp;" reales y 1 proyectado); Reales del "&amp;B42&amp;"/"&amp;A42&amp;" al "&amp;D42-1&amp;"/"&amp;C42&amp;" ,Proyectado "&amp;D42&amp;"/"&amp;C42)</f>
        <v>Informe 8 días ( 7 reales y 1 proyectado); Reales del 20/5 al 26/5 ,Proyectado 27/5</v>
      </c>
      <c r="R42" s="32"/>
    </row>
    <row r="43" spans="1:18" ht="39.75" customHeight="1" x14ac:dyDescent="0.35">
      <c r="H43" s="8">
        <f>1+N42</f>
        <v>44347</v>
      </c>
      <c r="I43" s="8"/>
      <c r="J43" s="8"/>
      <c r="K43" s="8"/>
      <c r="L43" s="8"/>
      <c r="M43" s="8"/>
      <c r="N43" s="8"/>
      <c r="P43" s="20"/>
      <c r="Q43" s="21"/>
      <c r="R43" s="32"/>
    </row>
    <row r="44" spans="1:18" x14ac:dyDescent="0.35">
      <c r="R44" s="33"/>
    </row>
    <row r="45" spans="1:18" x14ac:dyDescent="0.35">
      <c r="A45" s="14" t="s">
        <v>20</v>
      </c>
      <c r="C45" s="14" t="s">
        <v>21</v>
      </c>
      <c r="E45" s="15" t="s">
        <v>44</v>
      </c>
      <c r="F45" s="14" t="s">
        <v>45</v>
      </c>
      <c r="H45" s="44" t="s">
        <v>11</v>
      </c>
      <c r="I45" s="44"/>
      <c r="J45" s="44"/>
      <c r="K45" s="44"/>
      <c r="L45" s="44"/>
      <c r="M45" s="44"/>
      <c r="N45" s="44"/>
      <c r="P45" s="26" t="s">
        <v>50</v>
      </c>
      <c r="Q45" s="27" t="s">
        <v>46</v>
      </c>
      <c r="R45" s="27" t="s">
        <v>47</v>
      </c>
    </row>
    <row r="46" spans="1:18" x14ac:dyDescent="0.35">
      <c r="A46" s="14" t="s">
        <v>19</v>
      </c>
      <c r="B46" s="14" t="s">
        <v>18</v>
      </c>
      <c r="C46" s="14" t="s">
        <v>19</v>
      </c>
      <c r="D46" s="14" t="s">
        <v>18</v>
      </c>
      <c r="H46" s="4" t="s">
        <v>0</v>
      </c>
      <c r="I46" s="4" t="s">
        <v>1</v>
      </c>
      <c r="J46" s="4" t="s">
        <v>1</v>
      </c>
      <c r="K46" s="4" t="s">
        <v>2</v>
      </c>
      <c r="L46" s="4" t="s">
        <v>3</v>
      </c>
      <c r="M46" s="4" t="s">
        <v>4</v>
      </c>
      <c r="N46" s="4" t="s">
        <v>5</v>
      </c>
    </row>
    <row r="47" spans="1:18" ht="39.75" customHeight="1" x14ac:dyDescent="0.35">
      <c r="A47" s="14">
        <f>+MONTH(L42)</f>
        <v>5</v>
      </c>
      <c r="B47" s="14">
        <f>+DAY(L42)</f>
        <v>28</v>
      </c>
      <c r="C47" s="14">
        <f>+MONTH(K47)</f>
        <v>6</v>
      </c>
      <c r="D47" s="14">
        <f>+DAY(K47)</f>
        <v>3</v>
      </c>
      <c r="E47" s="15">
        <f>IF(A47=C47,D47-B47+1,DAY(EOMONTH(I41,0))-B47+D47+1)</f>
        <v>7</v>
      </c>
      <c r="F47" s="14">
        <f>F42+1</f>
        <v>22</v>
      </c>
      <c r="H47" s="8"/>
      <c r="I47" s="8">
        <f>+H43+1</f>
        <v>44348</v>
      </c>
      <c r="J47" s="8">
        <f t="shared" ref="I47:N48" si="38">+I47+1</f>
        <v>44349</v>
      </c>
      <c r="K47" s="8">
        <f t="shared" si="38"/>
        <v>44350</v>
      </c>
      <c r="L47" s="9">
        <f t="shared" si="38"/>
        <v>44351</v>
      </c>
      <c r="M47" s="9">
        <f t="shared" si="38"/>
        <v>44352</v>
      </c>
      <c r="N47" s="9">
        <f t="shared" si="38"/>
        <v>44353</v>
      </c>
      <c r="P47" s="20">
        <f>DATE(2021,C47,D47+1)</f>
        <v>44351</v>
      </c>
      <c r="Q47" s="21" t="str">
        <f>IF(A47=C47,"Informe "&amp;D47-B47+1&amp;" días ( "&amp;D47-B47&amp;" reales y 1 proyectado); Reales del "&amp;B47&amp;"/"&amp;C47&amp;" al "&amp;D47-1&amp;"/"&amp;A47&amp;" ,Proyectado "&amp;D47&amp;"/"&amp;A47,"Informe "&amp;DAY(EOMONTH(L42,0))-B47+D47+1&amp;" días ( "&amp;DAY(EOMONTH(L42,0))-B47+D47&amp;" reales y 1 proyectado); Reales del "&amp;B47&amp;"/"&amp;A47&amp;" al "&amp;D47-1&amp;"/"&amp;C47&amp;" ,Proyectado "&amp;D47&amp;"/"&amp;C47)</f>
        <v>Informe 7 días ( 6 reales y 1 proyectado); Reales del 28/5 al 2/6 ,Proyectado 3/6</v>
      </c>
      <c r="R47" s="32"/>
    </row>
    <row r="48" spans="1:18" ht="39.75" customHeight="1" x14ac:dyDescent="0.35">
      <c r="A48" s="14">
        <f>+MONTH(L47)</f>
        <v>6</v>
      </c>
      <c r="B48" s="14">
        <f>+DAY(L47)</f>
        <v>4</v>
      </c>
      <c r="C48" s="14">
        <f>+MONTH(K48)</f>
        <v>6</v>
      </c>
      <c r="D48" s="14">
        <f>+DAY(K48)</f>
        <v>10</v>
      </c>
      <c r="E48" s="15">
        <f t="shared" ref="E48:E50" si="39">IF(A48=C48,D48-B48+1,DAY(EOMONTH(I48,0))-B48+D48+1)</f>
        <v>7</v>
      </c>
      <c r="F48" s="14">
        <f>1+F47</f>
        <v>23</v>
      </c>
      <c r="H48" s="9">
        <f t="shared" ref="H48" si="40">1+N47</f>
        <v>44354</v>
      </c>
      <c r="I48" s="9">
        <f t="shared" si="38"/>
        <v>44355</v>
      </c>
      <c r="J48" s="9">
        <f t="shared" si="38"/>
        <v>44356</v>
      </c>
      <c r="K48" s="9">
        <f t="shared" si="38"/>
        <v>44357</v>
      </c>
      <c r="L48" s="8">
        <f t="shared" si="38"/>
        <v>44358</v>
      </c>
      <c r="M48" s="8">
        <f t="shared" si="38"/>
        <v>44359</v>
      </c>
      <c r="N48" s="8">
        <f t="shared" si="38"/>
        <v>44360</v>
      </c>
      <c r="P48" s="20">
        <f t="shared" ref="P48:P50" si="41">DATE(2021,C48,D48+1)</f>
        <v>44358</v>
      </c>
      <c r="Q48" s="21" t="str">
        <f t="shared" ref="Q48:Q50" si="42">IF(A48=C48,"Informe "&amp;D48-B48+1&amp;" días ( "&amp;D48-B48&amp;" reales y 1 proyectado); Reales del "&amp;B48&amp;"/"&amp;C48&amp;" al "&amp;D48-1&amp;"/"&amp;A48&amp;" ,Proyectado "&amp;D48&amp;"/"&amp;A48,"Informe "&amp;DAY(EOMONTH(L43,0))-B48+D48+1&amp;" días ( "&amp;DAY(EOMONTH(L43,0))-B48+D48&amp;" reales y 1 proyectado); Reales del "&amp;B48&amp;"/"&amp;A48&amp;" al "&amp;D48-1&amp;"/"&amp;C48&amp;" ,Proyectado "&amp;D48&amp;"/"&amp;C48)</f>
        <v>Informe 7 días ( 6 reales y 1 proyectado); Reales del 4/6 al 9/6 ,Proyectado 10/6</v>
      </c>
      <c r="R48" s="32"/>
    </row>
    <row r="49" spans="1:18" ht="39.75" customHeight="1" x14ac:dyDescent="0.35">
      <c r="A49" s="14">
        <f>+MONTH(L48)</f>
        <v>6</v>
      </c>
      <c r="B49" s="14">
        <f>+DAY(L48)</f>
        <v>11</v>
      </c>
      <c r="C49" s="14">
        <f>+MONTH(K49)</f>
        <v>6</v>
      </c>
      <c r="D49" s="14">
        <f>+DAY(K49)</f>
        <v>17</v>
      </c>
      <c r="E49" s="15">
        <f t="shared" si="39"/>
        <v>7</v>
      </c>
      <c r="F49" s="14">
        <f t="shared" ref="F49:F51" si="43">1+F48</f>
        <v>24</v>
      </c>
      <c r="H49" s="8">
        <f>1+N48</f>
        <v>44361</v>
      </c>
      <c r="I49" s="8">
        <f t="shared" ref="I49:N49" si="44">+H49+1</f>
        <v>44362</v>
      </c>
      <c r="J49" s="8">
        <f t="shared" si="44"/>
        <v>44363</v>
      </c>
      <c r="K49" s="8">
        <f t="shared" si="44"/>
        <v>44364</v>
      </c>
      <c r="L49" s="9">
        <f t="shared" si="44"/>
        <v>44365</v>
      </c>
      <c r="M49" s="9">
        <f t="shared" si="44"/>
        <v>44366</v>
      </c>
      <c r="N49" s="9">
        <f t="shared" si="44"/>
        <v>44367</v>
      </c>
      <c r="P49" s="20">
        <f t="shared" si="41"/>
        <v>44365</v>
      </c>
      <c r="Q49" s="21" t="str">
        <f t="shared" si="42"/>
        <v>Informe 7 días ( 6 reales y 1 proyectado); Reales del 11/6 al 16/6 ,Proyectado 17/6</v>
      </c>
      <c r="R49" s="32"/>
    </row>
    <row r="50" spans="1:18" ht="39.75" customHeight="1" x14ac:dyDescent="0.35">
      <c r="A50" s="14">
        <f>+MONTH(L49)</f>
        <v>6</v>
      </c>
      <c r="B50" s="14">
        <f>+DAY(L49)</f>
        <v>18</v>
      </c>
      <c r="C50" s="14">
        <f>+MONTH(K50)</f>
        <v>6</v>
      </c>
      <c r="D50" s="14">
        <f>+DAY(K50)</f>
        <v>24</v>
      </c>
      <c r="E50" s="15">
        <f t="shared" si="39"/>
        <v>7</v>
      </c>
      <c r="F50" s="14">
        <f t="shared" si="43"/>
        <v>25</v>
      </c>
      <c r="H50" s="9">
        <f t="shared" ref="H50:H51" si="45">1+N49</f>
        <v>44368</v>
      </c>
      <c r="I50" s="9">
        <f t="shared" ref="I50:N51" si="46">+H50+1</f>
        <v>44369</v>
      </c>
      <c r="J50" s="9">
        <f t="shared" si="46"/>
        <v>44370</v>
      </c>
      <c r="K50" s="9">
        <f t="shared" si="46"/>
        <v>44371</v>
      </c>
      <c r="L50" s="8">
        <f t="shared" si="46"/>
        <v>44372</v>
      </c>
      <c r="M50" s="8">
        <f t="shared" si="46"/>
        <v>44373</v>
      </c>
      <c r="N50" s="8">
        <f t="shared" si="46"/>
        <v>44374</v>
      </c>
      <c r="P50" s="20">
        <f t="shared" si="41"/>
        <v>44372</v>
      </c>
      <c r="Q50" s="21" t="str">
        <f t="shared" si="42"/>
        <v>Informe 7 días ( 6 reales y 1 proyectado); Reales del 18/6 al 23/6 ,Proyectado 24/6</v>
      </c>
      <c r="R50" s="32"/>
    </row>
    <row r="51" spans="1:18" ht="39.75" customHeight="1" x14ac:dyDescent="0.35">
      <c r="F51" s="14">
        <f t="shared" si="43"/>
        <v>26</v>
      </c>
      <c r="H51" s="7">
        <f t="shared" si="45"/>
        <v>44375</v>
      </c>
      <c r="I51" s="8">
        <f t="shared" si="46"/>
        <v>44376</v>
      </c>
      <c r="J51" s="8">
        <v>44377</v>
      </c>
      <c r="K51" s="6"/>
      <c r="L51" s="6"/>
      <c r="M51" s="6"/>
      <c r="N51" s="6"/>
      <c r="P51" s="20"/>
      <c r="Q51" s="21"/>
      <c r="R51" s="32" t="s">
        <v>64</v>
      </c>
    </row>
    <row r="52" spans="1:18" x14ac:dyDescent="0.35">
      <c r="R52" s="33"/>
    </row>
    <row r="53" spans="1:18" ht="15.5" x14ac:dyDescent="0.35">
      <c r="H53" s="16" t="s">
        <v>48</v>
      </c>
      <c r="R53" s="28">
        <f ca="1">R1</f>
        <v>46139</v>
      </c>
    </row>
    <row r="54" spans="1:18" ht="15.5" x14ac:dyDescent="0.35">
      <c r="A54" s="14" t="s">
        <v>23</v>
      </c>
      <c r="H54" s="16" t="s">
        <v>57</v>
      </c>
      <c r="P54" s="24"/>
      <c r="Q54" s="25"/>
      <c r="R54" s="29" t="str">
        <f>R2</f>
        <v>versión 0.0</v>
      </c>
    </row>
    <row r="55" spans="1:18" ht="15.75" customHeight="1" x14ac:dyDescent="0.35">
      <c r="P55" s="24"/>
      <c r="Q55" s="25"/>
      <c r="R55" s="30"/>
    </row>
    <row r="56" spans="1:18" x14ac:dyDescent="0.35">
      <c r="A56" s="14" t="s">
        <v>20</v>
      </c>
      <c r="C56" s="14" t="s">
        <v>21</v>
      </c>
      <c r="E56" s="15" t="s">
        <v>44</v>
      </c>
      <c r="F56" s="14" t="s">
        <v>45</v>
      </c>
      <c r="H56" s="44" t="s">
        <v>12</v>
      </c>
      <c r="I56" s="44"/>
      <c r="J56" s="44"/>
      <c r="K56" s="44"/>
      <c r="L56" s="44"/>
      <c r="M56" s="44"/>
      <c r="N56" s="44"/>
      <c r="P56" s="26" t="s">
        <v>50</v>
      </c>
      <c r="Q56" s="27" t="s">
        <v>46</v>
      </c>
      <c r="R56" s="27" t="s">
        <v>47</v>
      </c>
    </row>
    <row r="57" spans="1:18" x14ac:dyDescent="0.35">
      <c r="A57" s="14" t="s">
        <v>19</v>
      </c>
      <c r="B57" s="14" t="s">
        <v>18</v>
      </c>
      <c r="C57" s="14" t="s">
        <v>19</v>
      </c>
      <c r="D57" s="14" t="s">
        <v>18</v>
      </c>
      <c r="H57" s="4" t="s">
        <v>0</v>
      </c>
      <c r="I57" s="4" t="s">
        <v>1</v>
      </c>
      <c r="J57" s="4" t="s">
        <v>1</v>
      </c>
      <c r="K57" s="4" t="s">
        <v>2</v>
      </c>
      <c r="L57" s="4" t="s">
        <v>3</v>
      </c>
      <c r="M57" s="4" t="s">
        <v>4</v>
      </c>
      <c r="N57" s="4" t="s">
        <v>5</v>
      </c>
    </row>
    <row r="58" spans="1:18" ht="39.75" customHeight="1" x14ac:dyDescent="0.35">
      <c r="A58" s="14">
        <f>+MONTH(L50)</f>
        <v>6</v>
      </c>
      <c r="B58" s="14">
        <f>+DAY(L50)</f>
        <v>25</v>
      </c>
      <c r="C58" s="14">
        <f>+MONTH(K58)</f>
        <v>7</v>
      </c>
      <c r="D58" s="14">
        <f>+DAY(K58)</f>
        <v>1</v>
      </c>
      <c r="E58" s="15">
        <f>IF(A58=C58,D58-B58+1,DAY(EOMONTH(I50,0))-B58+D58+1)</f>
        <v>7</v>
      </c>
      <c r="F58" s="14">
        <f>+F51</f>
        <v>26</v>
      </c>
      <c r="H58" s="6"/>
      <c r="I58" s="6"/>
      <c r="J58" s="8"/>
      <c r="K58" s="8">
        <f>1+J51</f>
        <v>44378</v>
      </c>
      <c r="L58" s="9">
        <f t="shared" ref="L58:N58" si="47">+K58+1</f>
        <v>44379</v>
      </c>
      <c r="M58" s="9">
        <f t="shared" si="47"/>
        <v>44380</v>
      </c>
      <c r="N58" s="9">
        <f t="shared" si="47"/>
        <v>44381</v>
      </c>
      <c r="P58" s="20">
        <f t="shared" ref="P58:P62" si="48">DATE(2021,C58,D58+1)</f>
        <v>44379</v>
      </c>
      <c r="Q58" s="21" t="str">
        <f>IF(A58=C58,"Informe "&amp;D58-B58+1&amp;" días ( "&amp;D58-B58&amp;" reales y 1 proyectado); Reales del "&amp;B58&amp;"/"&amp;C58&amp;" al "&amp;D58-1&amp;"/"&amp;A58&amp;" ,Proyectado "&amp;D58&amp;"/"&amp;A58,"Informe "&amp;DAY(EOMONTH(L50,0))-B58+D58+1&amp;" días ( "&amp;DAY(EOMONTH(L50,0))-B58+D58&amp;" reales y 1 proyectado); Reales del "&amp;B58&amp;"/"&amp;A58&amp;" al "&amp;D58-1&amp;"/"&amp;C58&amp;" ,Proyectado "&amp;D58&amp;"/"&amp;C58)</f>
        <v>Informe 7 días ( 6 reales y 1 proyectado); Reales del 25/6 al 0/7 ,Proyectado 1/7</v>
      </c>
      <c r="R58" s="32"/>
    </row>
    <row r="59" spans="1:18" ht="39.75" customHeight="1" x14ac:dyDescent="0.35">
      <c r="A59" s="14">
        <f>+MONTH(L58)</f>
        <v>7</v>
      </c>
      <c r="B59" s="14">
        <f>+DAY(L58)</f>
        <v>2</v>
      </c>
      <c r="C59" s="14">
        <f>+MONTH(K59)</f>
        <v>7</v>
      </c>
      <c r="D59" s="14">
        <f>+DAY(K59)</f>
        <v>8</v>
      </c>
      <c r="E59" s="15">
        <f t="shared" ref="E59:E62" si="49">IF(A59=C59,D59-B59+1,DAY(EOMONTH(I59,0))-B59+D59+1)</f>
        <v>7</v>
      </c>
      <c r="F59" s="14">
        <f>1+F58</f>
        <v>27</v>
      </c>
      <c r="H59" s="9">
        <f t="shared" ref="H59" si="50">1+N58</f>
        <v>44382</v>
      </c>
      <c r="I59" s="9">
        <f t="shared" ref="I59:N62" si="51">+H59+1</f>
        <v>44383</v>
      </c>
      <c r="J59" s="9">
        <f t="shared" si="51"/>
        <v>44384</v>
      </c>
      <c r="K59" s="9">
        <f t="shared" si="51"/>
        <v>44385</v>
      </c>
      <c r="L59" s="8">
        <f t="shared" si="51"/>
        <v>44386</v>
      </c>
      <c r="M59" s="8">
        <f t="shared" si="51"/>
        <v>44387</v>
      </c>
      <c r="N59" s="8">
        <f t="shared" si="51"/>
        <v>44388</v>
      </c>
      <c r="P59" s="20">
        <f t="shared" si="48"/>
        <v>44386</v>
      </c>
      <c r="Q59" s="21" t="str">
        <f>IF(A59=C59,"Informe "&amp;D59-B59+1&amp;" días ( "&amp;D59-B59&amp;" reales y 1 proyectado); Reales del "&amp;B59&amp;"/"&amp;C59&amp;" al "&amp;D59-1&amp;"/"&amp;A59&amp;" ,Proyectado "&amp;D59&amp;"/"&amp;A59,"Informe "&amp;DAY(EOMONTH(K59,0))-B59+D59+1&amp;" días ( "&amp;DAY(EOMONTH(K59,0))-B59+D59&amp;" reales y 1 proyectado); Reales del "&amp;B59&amp;"/"&amp;A59&amp;" al "&amp;D59-1&amp;"/"&amp;C59&amp;" ,Proyectado "&amp;D59&amp;"/"&amp;C59)</f>
        <v>Informe 7 días ( 6 reales y 1 proyectado); Reales del 2/7 al 7/7 ,Proyectado 8/7</v>
      </c>
      <c r="R59" s="32"/>
    </row>
    <row r="60" spans="1:18" ht="39.75" customHeight="1" x14ac:dyDescent="0.35">
      <c r="A60" s="14">
        <f>+MONTH(L59)</f>
        <v>7</v>
      </c>
      <c r="B60" s="14">
        <f>+DAY(L59)</f>
        <v>9</v>
      </c>
      <c r="C60" s="14">
        <f>+MONTH(J60)</f>
        <v>7</v>
      </c>
      <c r="D60" s="14">
        <f>+DAY(J60)</f>
        <v>14</v>
      </c>
      <c r="E60" s="15">
        <f t="shared" si="49"/>
        <v>6</v>
      </c>
      <c r="F60" s="14">
        <f t="shared" ref="F60:F61" si="52">1+F59</f>
        <v>28</v>
      </c>
      <c r="H60" s="8">
        <f>1+N59</f>
        <v>44389</v>
      </c>
      <c r="I60" s="8">
        <f t="shared" ref="I60:N60" si="53">+H60+1</f>
        <v>44390</v>
      </c>
      <c r="J60" s="8">
        <f t="shared" si="53"/>
        <v>44391</v>
      </c>
      <c r="K60" s="9">
        <f t="shared" si="53"/>
        <v>44392</v>
      </c>
      <c r="L60" s="7">
        <f t="shared" si="53"/>
        <v>44393</v>
      </c>
      <c r="M60" s="9">
        <f t="shared" si="53"/>
        <v>44394</v>
      </c>
      <c r="N60" s="9">
        <f t="shared" si="53"/>
        <v>44395</v>
      </c>
      <c r="P60" s="20">
        <f t="shared" si="48"/>
        <v>44392</v>
      </c>
      <c r="Q60" s="21" t="str">
        <f>IF(A60=C60,"Informe "&amp;D60-B60+1&amp;" días ( "&amp;D60-B60&amp;" reales y 1 proyectado); Reales del "&amp;B60&amp;"/"&amp;C60&amp;" al "&amp;D60-1&amp;"/"&amp;A60&amp;" ,Proyectado "&amp;D60&amp;"/"&amp;A60,"Informe "&amp;DAY(EOMONTH(K60,0))-B60+D60+1&amp;" días ( "&amp;DAY(EOMONTH(K60,0))-B60+D60&amp;" reales y 1 proyectado); Reales del "&amp;B60&amp;"/"&amp;A60&amp;" al "&amp;D60-1&amp;"/"&amp;C60&amp;" ,Proyectado "&amp;D60&amp;"/"&amp;C60)</f>
        <v>Informe 6 días ( 5 reales y 1 proyectado); Reales del 9/7 al 13/7 ,Proyectado 14/7</v>
      </c>
      <c r="R60" s="32" t="s">
        <v>65</v>
      </c>
    </row>
    <row r="61" spans="1:18" ht="39.75" customHeight="1" x14ac:dyDescent="0.35">
      <c r="A61" s="14">
        <f>+MONTH(K60)</f>
        <v>7</v>
      </c>
      <c r="B61" s="14">
        <f>+DAY(K60)</f>
        <v>15</v>
      </c>
      <c r="C61" s="14">
        <f>+MONTH(K61)</f>
        <v>7</v>
      </c>
      <c r="D61" s="14">
        <f>+DAY(K61)</f>
        <v>22</v>
      </c>
      <c r="E61" s="15">
        <f t="shared" si="49"/>
        <v>8</v>
      </c>
      <c r="F61" s="14">
        <f t="shared" si="52"/>
        <v>29</v>
      </c>
      <c r="H61" s="9">
        <f t="shared" ref="H61" si="54">1+N60</f>
        <v>44396</v>
      </c>
      <c r="I61" s="9">
        <f t="shared" si="51"/>
        <v>44397</v>
      </c>
      <c r="J61" s="9">
        <f t="shared" si="51"/>
        <v>44398</v>
      </c>
      <c r="K61" s="9">
        <f t="shared" si="51"/>
        <v>44399</v>
      </c>
      <c r="L61" s="8">
        <f t="shared" si="51"/>
        <v>44400</v>
      </c>
      <c r="M61" s="8">
        <f t="shared" si="51"/>
        <v>44401</v>
      </c>
      <c r="N61" s="8">
        <f t="shared" si="51"/>
        <v>44402</v>
      </c>
      <c r="P61" s="20">
        <f t="shared" si="48"/>
        <v>44400</v>
      </c>
      <c r="Q61" s="21" t="str">
        <f>IF(A61=C61,"Informe "&amp;D61-B61+1&amp;" días ( "&amp;D61-B61&amp;" reales y 1 proyectado); Reales del "&amp;B61&amp;"/"&amp;C61&amp;" al "&amp;D61-1&amp;"/"&amp;A61&amp;" ,Proyectado "&amp;D61&amp;"/"&amp;A61,"Informe "&amp;DAY(EOMONTH(K61,0))-B61+D61+1&amp;" días ( "&amp;DAY(EOMONTH(K61,0))-B61+D61&amp;" reales y 1 proyectado); Reales del "&amp;B61&amp;"/"&amp;A61&amp;" al "&amp;D61-1&amp;"/"&amp;C61&amp;" ,Proyectado "&amp;D61&amp;"/"&amp;C61)</f>
        <v>Informe 8 días ( 7 reales y 1 proyectado); Reales del 15/7 al 21/7 ,Proyectado 22/7</v>
      </c>
      <c r="R61" s="32"/>
    </row>
    <row r="62" spans="1:18" ht="39.75" customHeight="1" x14ac:dyDescent="0.35">
      <c r="A62" s="14">
        <f>+MONTH(L61)</f>
        <v>7</v>
      </c>
      <c r="B62" s="14">
        <f>+DAY(L61)</f>
        <v>23</v>
      </c>
      <c r="C62" s="14">
        <f>+MONTH(K62)</f>
        <v>7</v>
      </c>
      <c r="D62" s="14">
        <f>+DAY(K62)</f>
        <v>29</v>
      </c>
      <c r="E62" s="15">
        <f t="shared" si="49"/>
        <v>7</v>
      </c>
      <c r="F62" s="14">
        <f t="shared" ref="F62" si="55">1+F61</f>
        <v>30</v>
      </c>
      <c r="H62" s="8">
        <f>1+N61</f>
        <v>44403</v>
      </c>
      <c r="I62" s="8">
        <f t="shared" si="51"/>
        <v>44404</v>
      </c>
      <c r="J62" s="8">
        <f t="shared" si="51"/>
        <v>44405</v>
      </c>
      <c r="K62" s="8">
        <f t="shared" si="51"/>
        <v>44406</v>
      </c>
      <c r="L62" s="9">
        <f t="shared" si="51"/>
        <v>44407</v>
      </c>
      <c r="M62" s="9">
        <f t="shared" si="51"/>
        <v>44408</v>
      </c>
      <c r="N62" s="6"/>
      <c r="P62" s="20">
        <f t="shared" si="48"/>
        <v>44407</v>
      </c>
      <c r="Q62" s="21" t="str">
        <f>IF(A62=C62,"Informe "&amp;D62-B62+1&amp;" días ( "&amp;D62-B62&amp;" reales y 1 proyectado); Reales del "&amp;B62&amp;"/"&amp;C62&amp;" al "&amp;D62-1&amp;"/"&amp;A62&amp;" ,Proyectado "&amp;D62&amp;"/"&amp;A62,"Informe "&amp;DAY(EOMONTH(K62,0))-B62+D62+1&amp;" días ( "&amp;DAY(EOMONTH(K62,0))-B62+D62&amp;" reales y 1 proyectado); Reales del "&amp;B62&amp;"/"&amp;A62&amp;" al "&amp;D62-1&amp;"/"&amp;C62&amp;" ,Proyectado "&amp;D62&amp;"/"&amp;C62)</f>
        <v>Informe 7 días ( 6 reales y 1 proyectado); Reales del 23/7 al 28/7 ,Proyectado 29/7</v>
      </c>
      <c r="R62" s="32"/>
    </row>
    <row r="63" spans="1:18" x14ac:dyDescent="0.35">
      <c r="R63" s="33"/>
    </row>
    <row r="64" spans="1:18" x14ac:dyDescent="0.35">
      <c r="H64" s="44" t="s">
        <v>13</v>
      </c>
      <c r="I64" s="44"/>
      <c r="J64" s="44"/>
      <c r="K64" s="44"/>
      <c r="L64" s="44"/>
      <c r="M64" s="44"/>
      <c r="N64" s="44"/>
      <c r="P64" s="26" t="s">
        <v>50</v>
      </c>
      <c r="Q64" s="27" t="s">
        <v>46</v>
      </c>
      <c r="R64" s="27" t="s">
        <v>47</v>
      </c>
    </row>
    <row r="65" spans="1:18" x14ac:dyDescent="0.35">
      <c r="H65" s="4" t="s">
        <v>0</v>
      </c>
      <c r="I65" s="4" t="s">
        <v>1</v>
      </c>
      <c r="J65" s="4" t="s">
        <v>1</v>
      </c>
      <c r="K65" s="4" t="s">
        <v>2</v>
      </c>
      <c r="L65" s="4" t="s">
        <v>3</v>
      </c>
      <c r="M65" s="4" t="s">
        <v>4</v>
      </c>
      <c r="N65" s="4" t="s">
        <v>5</v>
      </c>
    </row>
    <row r="66" spans="1:18" ht="39.75" customHeight="1" x14ac:dyDescent="0.35">
      <c r="F66" s="14">
        <f>+F62</f>
        <v>30</v>
      </c>
      <c r="H66" s="6"/>
      <c r="I66" s="6"/>
      <c r="J66" s="6"/>
      <c r="K66" s="6"/>
      <c r="L66" s="6"/>
      <c r="M66" s="9"/>
      <c r="N66" s="9">
        <f>1+M62</f>
        <v>44409</v>
      </c>
    </row>
    <row r="67" spans="1:18" ht="39.75" customHeight="1" x14ac:dyDescent="0.35">
      <c r="A67" s="14">
        <f>+MONTH(L62)</f>
        <v>7</v>
      </c>
      <c r="B67" s="14">
        <f>+DAY(L62)</f>
        <v>30</v>
      </c>
      <c r="C67" s="14">
        <f>+MONTH(K67)</f>
        <v>8</v>
      </c>
      <c r="D67" s="14">
        <f>+DAY(K67)</f>
        <v>5</v>
      </c>
      <c r="E67" s="15">
        <f>IF(A67=C67,D67-B67+1,DAY(EOMONTH(I62,0))-B67+D67+1)</f>
        <v>7</v>
      </c>
      <c r="F67" s="14">
        <f>1+F66</f>
        <v>31</v>
      </c>
      <c r="H67" s="9">
        <f t="shared" ref="H67" si="56">1+N66</f>
        <v>44410</v>
      </c>
      <c r="I67" s="9">
        <f t="shared" ref="I67:N70" si="57">+H67+1</f>
        <v>44411</v>
      </c>
      <c r="J67" s="9">
        <f t="shared" si="57"/>
        <v>44412</v>
      </c>
      <c r="K67" s="9">
        <f t="shared" si="57"/>
        <v>44413</v>
      </c>
      <c r="L67" s="8">
        <f t="shared" si="57"/>
        <v>44414</v>
      </c>
      <c r="M67" s="8">
        <f t="shared" si="57"/>
        <v>44415</v>
      </c>
      <c r="N67" s="8">
        <f t="shared" si="57"/>
        <v>44416</v>
      </c>
      <c r="P67" s="20">
        <f>DATE(2021,C67,D67+1)</f>
        <v>44414</v>
      </c>
      <c r="Q67" s="21" t="str">
        <f>IF(A67=C67,"Informe "&amp;D67-B67+1&amp;" días ( "&amp;D67-B67&amp;" reales y 1 proyectado); Reales del "&amp;B67&amp;"/"&amp;C67&amp;" al "&amp;D67-1&amp;"/"&amp;A67&amp;" ,Proyectado "&amp;D67&amp;"/"&amp;A67,"Informe "&amp;DAY(EOMONTH(K67,0))-B67+D67+1&amp;" días ( "&amp;DAY(EOMONTH(K67,0))-B67+D67&amp;" reales y 1 proyectado); Reales del "&amp;B67&amp;"/"&amp;A67&amp;" al "&amp;D67-1&amp;"/"&amp;C67&amp;" ,Proyectado "&amp;D67&amp;"/"&amp;C67)</f>
        <v>Informe 7 días ( 6 reales y 1 proyectado); Reales del 30/7 al 4/8 ,Proyectado 5/8</v>
      </c>
      <c r="R67" s="32"/>
    </row>
    <row r="68" spans="1:18" ht="39.75" customHeight="1" x14ac:dyDescent="0.35">
      <c r="A68" s="14">
        <f>+MONTH(L67)</f>
        <v>8</v>
      </c>
      <c r="B68" s="14">
        <f>+DAY(L67)</f>
        <v>6</v>
      </c>
      <c r="C68" s="14">
        <f>+MONTH(K68)</f>
        <v>8</v>
      </c>
      <c r="D68" s="14">
        <f>+DAY(K68)</f>
        <v>12</v>
      </c>
      <c r="E68" s="15">
        <f t="shared" ref="E68:E70" si="58">IF(A68=C68,D68-B68+1,DAY(EOMONTH(I68,0))-B68+D68+1)</f>
        <v>7</v>
      </c>
      <c r="F68" s="14">
        <f t="shared" ref="F68:F69" si="59">1+F67</f>
        <v>32</v>
      </c>
      <c r="H68" s="8">
        <f>1+N67</f>
        <v>44417</v>
      </c>
      <c r="I68" s="8">
        <f t="shared" si="57"/>
        <v>44418</v>
      </c>
      <c r="J68" s="8">
        <f t="shared" si="57"/>
        <v>44419</v>
      </c>
      <c r="K68" s="8">
        <f t="shared" si="57"/>
        <v>44420</v>
      </c>
      <c r="L68" s="9">
        <f t="shared" si="57"/>
        <v>44421</v>
      </c>
      <c r="M68" s="9">
        <f t="shared" si="57"/>
        <v>44422</v>
      </c>
      <c r="N68" s="7">
        <f t="shared" si="57"/>
        <v>44423</v>
      </c>
      <c r="P68" s="20">
        <f t="shared" ref="P68:P70" si="60">DATE(2021,C68,D68+1)</f>
        <v>44421</v>
      </c>
      <c r="Q68" s="21" t="str">
        <f>IF(A68=C68,"Informe "&amp;D68-B68+1&amp;" días ( "&amp;D68-B68&amp;" reales y 1 proyectado); Reales del "&amp;B68&amp;"/"&amp;C68&amp;" al "&amp;D68-1&amp;"/"&amp;A68&amp;" ,Proyectado "&amp;D68&amp;"/"&amp;A68,"Informe "&amp;DAY(EOMONTH(K68,0))-B68+D68+1&amp;" días ( "&amp;DAY(EOMONTH(K68,0))-B68+D68&amp;" reales y 1 proyectado); Reales del "&amp;B68&amp;"/"&amp;A68&amp;" al "&amp;D68-1&amp;"/"&amp;C68&amp;" ,Proyectado "&amp;D68&amp;"/"&amp;C68)</f>
        <v>Informe 7 días ( 6 reales y 1 proyectado); Reales del 6/8 al 11/8 ,Proyectado 12/8</v>
      </c>
      <c r="R68" s="32" t="s">
        <v>66</v>
      </c>
    </row>
    <row r="69" spans="1:18" ht="39.75" customHeight="1" x14ac:dyDescent="0.35">
      <c r="A69" s="14">
        <f>+MONTH(L68)</f>
        <v>8</v>
      </c>
      <c r="B69" s="14">
        <f>+DAY(L68)</f>
        <v>13</v>
      </c>
      <c r="C69" s="14">
        <f>+MONTH(K69)</f>
        <v>8</v>
      </c>
      <c r="D69" s="14">
        <f>+DAY(K69)</f>
        <v>19</v>
      </c>
      <c r="E69" s="15">
        <f t="shared" si="58"/>
        <v>7</v>
      </c>
      <c r="F69" s="14">
        <f t="shared" si="59"/>
        <v>33</v>
      </c>
      <c r="H69" s="9">
        <f t="shared" ref="H69" si="61">1+N68</f>
        <v>44424</v>
      </c>
      <c r="I69" s="9">
        <f t="shared" si="57"/>
        <v>44425</v>
      </c>
      <c r="J69" s="9">
        <f t="shared" si="57"/>
        <v>44426</v>
      </c>
      <c r="K69" s="9">
        <f t="shared" si="57"/>
        <v>44427</v>
      </c>
      <c r="L69" s="8">
        <f t="shared" si="57"/>
        <v>44428</v>
      </c>
      <c r="M69" s="8">
        <f t="shared" si="57"/>
        <v>44429</v>
      </c>
      <c r="N69" s="8">
        <f t="shared" si="57"/>
        <v>44430</v>
      </c>
      <c r="P69" s="20">
        <f t="shared" si="60"/>
        <v>44428</v>
      </c>
      <c r="Q69" s="21" t="str">
        <f>IF(A69=C69,"Informe "&amp;D69-B69+1&amp;" días ( "&amp;D69-B69&amp;" reales y 1 proyectado); Reales del "&amp;B69&amp;"/"&amp;C69&amp;" al "&amp;D69-1&amp;"/"&amp;A69&amp;" ,Proyectado "&amp;D69&amp;"/"&amp;A69,"Informe "&amp;DAY(EOMONTH(K69,0))-B69+D69+1&amp;" días ( "&amp;DAY(EOMONTH(K69,0))-B69+D69&amp;" reales y 1 proyectado); Reales del "&amp;B69&amp;"/"&amp;A69&amp;" al "&amp;D69-1&amp;"/"&amp;C69&amp;" ,Proyectado "&amp;D69&amp;"/"&amp;C69)</f>
        <v>Informe 7 días ( 6 reales y 1 proyectado); Reales del 13/8 al 18/8 ,Proyectado 19/8</v>
      </c>
      <c r="R69" s="32"/>
    </row>
    <row r="70" spans="1:18" ht="39.75" customHeight="1" x14ac:dyDescent="0.35">
      <c r="A70" s="14">
        <f>+MONTH(L69)</f>
        <v>8</v>
      </c>
      <c r="B70" s="14">
        <f>+DAY(L69)</f>
        <v>20</v>
      </c>
      <c r="C70" s="14">
        <f>+MONTH(K70)</f>
        <v>8</v>
      </c>
      <c r="D70" s="14">
        <f>+DAY(K70)</f>
        <v>26</v>
      </c>
      <c r="E70" s="15">
        <f t="shared" si="58"/>
        <v>7</v>
      </c>
      <c r="F70" s="14">
        <f t="shared" ref="F70:F71" si="62">1+F69</f>
        <v>34</v>
      </c>
      <c r="H70" s="8">
        <f>1+N69</f>
        <v>44431</v>
      </c>
      <c r="I70" s="8">
        <f t="shared" si="57"/>
        <v>44432</v>
      </c>
      <c r="J70" s="8">
        <f t="shared" si="57"/>
        <v>44433</v>
      </c>
      <c r="K70" s="8">
        <f t="shared" si="57"/>
        <v>44434</v>
      </c>
      <c r="L70" s="9">
        <f t="shared" si="57"/>
        <v>44435</v>
      </c>
      <c r="M70" s="9">
        <f t="shared" si="57"/>
        <v>44436</v>
      </c>
      <c r="N70" s="9">
        <f t="shared" si="57"/>
        <v>44437</v>
      </c>
      <c r="P70" s="20">
        <f t="shared" si="60"/>
        <v>44435</v>
      </c>
      <c r="Q70" s="21" t="str">
        <f>IF(A70=C70,"Informe "&amp;D70-B70+1&amp;" días ( "&amp;D70-B70&amp;" reales y 1 proyectado); Reales del "&amp;B70&amp;"/"&amp;C70&amp;" al "&amp;D70-1&amp;"/"&amp;A70&amp;" ,Proyectado "&amp;D70&amp;"/"&amp;A70,"Informe "&amp;DAY(EOMONTH(K70,0))-B70+D70+1&amp;" días ( "&amp;DAY(EOMONTH(K70,0))-B70+D70&amp;" reales y 1 proyectado); Reales del "&amp;B70&amp;"/"&amp;A70&amp;" al "&amp;D70-1&amp;"/"&amp;C70&amp;" ,Proyectado "&amp;D70&amp;"/"&amp;C70)</f>
        <v>Informe 7 días ( 6 reales y 1 proyectado); Reales del 20/8 al 25/8 ,Proyectado 26/8</v>
      </c>
      <c r="R70" s="32"/>
    </row>
    <row r="71" spans="1:18" ht="39.75" customHeight="1" x14ac:dyDescent="0.35">
      <c r="F71" s="14">
        <f t="shared" si="62"/>
        <v>35</v>
      </c>
      <c r="H71" s="9">
        <f>1+N70</f>
        <v>44438</v>
      </c>
      <c r="I71" s="9">
        <f>1+H71</f>
        <v>44439</v>
      </c>
      <c r="J71" s="6"/>
      <c r="K71" s="6"/>
      <c r="L71" s="6"/>
      <c r="M71" s="6"/>
      <c r="N71" s="6"/>
      <c r="P71" s="20"/>
      <c r="R71" s="33"/>
    </row>
    <row r="72" spans="1:18" x14ac:dyDescent="0.35">
      <c r="R72" s="33"/>
    </row>
    <row r="73" spans="1:18" x14ac:dyDescent="0.35">
      <c r="H73" s="44" t="s">
        <v>14</v>
      </c>
      <c r="I73" s="44"/>
      <c r="J73" s="44"/>
      <c r="K73" s="44"/>
      <c r="L73" s="44"/>
      <c r="M73" s="44"/>
      <c r="N73" s="44"/>
      <c r="P73" s="26" t="s">
        <v>50</v>
      </c>
      <c r="Q73" s="27" t="s">
        <v>46</v>
      </c>
      <c r="R73" s="27" t="s">
        <v>47</v>
      </c>
    </row>
    <row r="74" spans="1:18" x14ac:dyDescent="0.35">
      <c r="H74" s="4" t="s">
        <v>0</v>
      </c>
      <c r="I74" s="4" t="s">
        <v>1</v>
      </c>
      <c r="J74" s="4" t="s">
        <v>1</v>
      </c>
      <c r="K74" s="4" t="s">
        <v>2</v>
      </c>
      <c r="L74" s="4" t="s">
        <v>3</v>
      </c>
      <c r="M74" s="4" t="s">
        <v>4</v>
      </c>
      <c r="N74" s="4" t="s">
        <v>5</v>
      </c>
    </row>
    <row r="75" spans="1:18" ht="39.75" customHeight="1" x14ac:dyDescent="0.35">
      <c r="A75" s="14">
        <f>+MONTH(L70)</f>
        <v>8</v>
      </c>
      <c r="B75" s="14">
        <f>+DAY(L70)</f>
        <v>27</v>
      </c>
      <c r="C75" s="14">
        <f>+MONTH(K75)</f>
        <v>9</v>
      </c>
      <c r="D75" s="14">
        <f>+DAY(K75)</f>
        <v>2</v>
      </c>
      <c r="E75" s="15">
        <f>IF(A75=C75,D75-B75+1,DAY(EOMONTH(I70,0))-B75+D75+1)</f>
        <v>7</v>
      </c>
      <c r="F75" s="14">
        <f>+F71</f>
        <v>35</v>
      </c>
      <c r="H75" s="6"/>
      <c r="I75" s="9"/>
      <c r="J75" s="9">
        <f>+I71+1</f>
        <v>44440</v>
      </c>
      <c r="K75" s="9">
        <f t="shared" ref="K75:N75" si="63">+J75+1</f>
        <v>44441</v>
      </c>
      <c r="L75" s="8">
        <f t="shared" si="63"/>
        <v>44442</v>
      </c>
      <c r="M75" s="8">
        <f t="shared" si="63"/>
        <v>44443</v>
      </c>
      <c r="N75" s="8">
        <f t="shared" si="63"/>
        <v>44444</v>
      </c>
      <c r="P75" s="20">
        <f>DATE(2021,C75,D75+1)</f>
        <v>44442</v>
      </c>
      <c r="Q75" s="21" t="str">
        <f>IF(A75=C75,"Informe "&amp;D75-B75+1&amp;" días ( "&amp;D75-B75&amp;" reales y 1 proyectado); Reales del "&amp;B75&amp;"/"&amp;C75&amp;" al "&amp;D75-1&amp;"/"&amp;A75&amp;" ,Proyectado "&amp;D75&amp;"/"&amp;A75,"Informe "&amp;DAY(EOMONTH(L70,0))-B75+D75+1&amp;" días ( "&amp;DAY(EOMONTH(L70,0))-B75+D75&amp;" reales y 1 proyectado); Reales del "&amp;B75&amp;"/"&amp;A75&amp;" al "&amp;D75-1&amp;"/"&amp;C75&amp;" ,Proyectado "&amp;D75&amp;"/"&amp;C75)</f>
        <v>Informe 7 días ( 6 reales y 1 proyectado); Reales del 27/8 al 1/9 ,Proyectado 2/9</v>
      </c>
      <c r="R75" s="32"/>
    </row>
    <row r="76" spans="1:18" ht="39.75" customHeight="1" x14ac:dyDescent="0.35">
      <c r="A76" s="14">
        <f>+MONTH(L75)</f>
        <v>9</v>
      </c>
      <c r="B76" s="14">
        <f>+DAY(L75)</f>
        <v>3</v>
      </c>
      <c r="C76" s="14">
        <f>+MONTH(K76)</f>
        <v>9</v>
      </c>
      <c r="D76" s="14">
        <f>+DAY(K76)</f>
        <v>9</v>
      </c>
      <c r="E76" s="15">
        <f t="shared" ref="E76:E78" si="64">IF(A76=C76,D76-B76+1,DAY(EOMONTH(I76,0))-B76+D76+1)</f>
        <v>7</v>
      </c>
      <c r="F76" s="14">
        <f t="shared" ref="F76:F79" si="65">1+F75</f>
        <v>36</v>
      </c>
      <c r="H76" s="8">
        <f>1+N75</f>
        <v>44445</v>
      </c>
      <c r="I76" s="8">
        <f t="shared" ref="I76:N79" si="66">+H76+1</f>
        <v>44446</v>
      </c>
      <c r="J76" s="8">
        <f t="shared" si="66"/>
        <v>44447</v>
      </c>
      <c r="K76" s="8">
        <f t="shared" si="66"/>
        <v>44448</v>
      </c>
      <c r="L76" s="9">
        <f t="shared" si="66"/>
        <v>44449</v>
      </c>
      <c r="M76" s="9">
        <f t="shared" si="66"/>
        <v>44450</v>
      </c>
      <c r="N76" s="9">
        <f t="shared" si="66"/>
        <v>44451</v>
      </c>
      <c r="P76" s="20">
        <f t="shared" ref="P76:P78" si="67">DATE(2021,C76,D76+1)</f>
        <v>44449</v>
      </c>
      <c r="Q76" s="21" t="str">
        <f>IF(A76=C76,"Informe "&amp;D76-B76+1&amp;" días ( "&amp;D76-B76&amp;" reales y 1 proyectado); Reales del "&amp;B76&amp;"/"&amp;C76&amp;" al "&amp;D76-1&amp;"/"&amp;A76&amp;" ,Proyectado "&amp;D76&amp;"/"&amp;A76,"Informe "&amp;DAY(EOMONTH(K76,0))-B76+D76+1&amp;" días ( "&amp;DAY(EOMONTH(K76,0))-B76+D76&amp;" reales y 1 proyectado); Reales del "&amp;B76&amp;"/"&amp;A76&amp;" al "&amp;D76-1&amp;"/"&amp;C76&amp;" ,Proyectado "&amp;D76&amp;"/"&amp;C76)</f>
        <v>Informe 7 días ( 6 reales y 1 proyectado); Reales del 3/9 al 8/9 ,Proyectado 9/9</v>
      </c>
      <c r="R76" s="32"/>
    </row>
    <row r="77" spans="1:18" ht="39.75" customHeight="1" x14ac:dyDescent="0.35">
      <c r="A77" s="14">
        <f>+MONTH(L76)</f>
        <v>9</v>
      </c>
      <c r="B77" s="14">
        <f>+DAY(L76)</f>
        <v>10</v>
      </c>
      <c r="C77" s="14">
        <f>+MONTH(K77)</f>
        <v>9</v>
      </c>
      <c r="D77" s="14">
        <f>+DAY(K77)</f>
        <v>16</v>
      </c>
      <c r="E77" s="15">
        <f t="shared" si="64"/>
        <v>7</v>
      </c>
      <c r="F77" s="14">
        <f t="shared" si="65"/>
        <v>37</v>
      </c>
      <c r="H77" s="9">
        <f t="shared" ref="H77" si="68">1+N76</f>
        <v>44452</v>
      </c>
      <c r="I77" s="9">
        <f t="shared" si="66"/>
        <v>44453</v>
      </c>
      <c r="J77" s="9">
        <f t="shared" si="66"/>
        <v>44454</v>
      </c>
      <c r="K77" s="9">
        <f t="shared" si="66"/>
        <v>44455</v>
      </c>
      <c r="L77" s="8">
        <f t="shared" si="66"/>
        <v>44456</v>
      </c>
      <c r="M77" s="7">
        <f t="shared" si="66"/>
        <v>44457</v>
      </c>
      <c r="N77" s="7">
        <f t="shared" si="66"/>
        <v>44458</v>
      </c>
      <c r="P77" s="20">
        <f t="shared" si="67"/>
        <v>44456</v>
      </c>
      <c r="Q77" s="21" t="str">
        <f>IF(A77=C77,"Informe "&amp;D77-B77+1&amp;" días ( "&amp;D77-B77&amp;" reales y 1 proyectado); Reales del "&amp;B77&amp;"/"&amp;C77&amp;" al "&amp;D77-1&amp;"/"&amp;A77&amp;" ,Proyectado "&amp;D77&amp;"/"&amp;A77,"Informe "&amp;DAY(EOMONTH(K77,0))-B77+D77+1&amp;" días ( "&amp;DAY(EOMONTH(K77,0))-B77+D77&amp;" reales y 1 proyectado); Reales del "&amp;B77&amp;"/"&amp;A77&amp;" al "&amp;D77-1&amp;"/"&amp;C77&amp;" ,Proyectado "&amp;D77&amp;"/"&amp;C77)</f>
        <v>Informe 7 días ( 6 reales y 1 proyectado); Reales del 10/9 al 15/9 ,Proyectado 16/9</v>
      </c>
      <c r="R77" s="32" t="s">
        <v>67</v>
      </c>
    </row>
    <row r="78" spans="1:18" ht="39.75" customHeight="1" x14ac:dyDescent="0.35">
      <c r="A78" s="14">
        <f>+MONTH(L77)</f>
        <v>9</v>
      </c>
      <c r="B78" s="14">
        <f>+DAY(L77)</f>
        <v>17</v>
      </c>
      <c r="C78" s="14">
        <f>+MONTH(K78)</f>
        <v>9</v>
      </c>
      <c r="D78" s="14">
        <f>+DAY(K78)</f>
        <v>23</v>
      </c>
      <c r="E78" s="15">
        <f t="shared" si="64"/>
        <v>7</v>
      </c>
      <c r="F78" s="14">
        <f t="shared" si="65"/>
        <v>38</v>
      </c>
      <c r="H78" s="8">
        <f>1+N77</f>
        <v>44459</v>
      </c>
      <c r="I78" s="8">
        <f t="shared" si="66"/>
        <v>44460</v>
      </c>
      <c r="J78" s="8">
        <f t="shared" si="66"/>
        <v>44461</v>
      </c>
      <c r="K78" s="8">
        <f t="shared" si="66"/>
        <v>44462</v>
      </c>
      <c r="L78" s="9">
        <f t="shared" si="66"/>
        <v>44463</v>
      </c>
      <c r="M78" s="9">
        <f t="shared" si="66"/>
        <v>44464</v>
      </c>
      <c r="N78" s="9">
        <f t="shared" si="66"/>
        <v>44465</v>
      </c>
      <c r="P78" s="20">
        <f t="shared" si="67"/>
        <v>44463</v>
      </c>
      <c r="Q78" s="21" t="str">
        <f>IF(A78=C78,"Informe "&amp;D78-B78+1&amp;" días ( "&amp;D78-B78&amp;" reales y 1 proyectado); Reales del "&amp;B78&amp;"/"&amp;C78&amp;" al "&amp;D78-1&amp;"/"&amp;A78&amp;" ,Proyectado "&amp;D78&amp;"/"&amp;A78,"Informe "&amp;DAY(EOMONTH(K78,0))-B78+D78+1&amp;" días ( "&amp;DAY(EOMONTH(K78,0))-B78+D78&amp;" reales y 1 proyectado); Reales del "&amp;B78&amp;"/"&amp;A78&amp;" al "&amp;D78-1&amp;"/"&amp;C78&amp;" ,Proyectado "&amp;D78&amp;"/"&amp;C78)</f>
        <v>Informe 7 días ( 6 reales y 1 proyectado); Reales del 17/9 al 22/9 ,Proyectado 23/9</v>
      </c>
      <c r="R78" s="32" t="s">
        <v>74</v>
      </c>
    </row>
    <row r="79" spans="1:18" ht="39.75" customHeight="1" x14ac:dyDescent="0.35">
      <c r="A79" s="14">
        <f>+MONTH(L78)</f>
        <v>9</v>
      </c>
      <c r="B79" s="14">
        <f>+DAY(L78)</f>
        <v>24</v>
      </c>
      <c r="C79" s="14">
        <f>+MONTH(J79)</f>
        <v>9</v>
      </c>
      <c r="D79" s="14">
        <f>+DAY(K79)</f>
        <v>30</v>
      </c>
      <c r="F79" s="14">
        <f t="shared" si="65"/>
        <v>39</v>
      </c>
      <c r="H79" s="9">
        <f t="shared" ref="H79" si="69">1+N78</f>
        <v>44466</v>
      </c>
      <c r="I79" s="9">
        <f t="shared" si="66"/>
        <v>44467</v>
      </c>
      <c r="J79" s="9">
        <f t="shared" si="66"/>
        <v>44468</v>
      </c>
      <c r="K79" s="9">
        <f t="shared" si="66"/>
        <v>44469</v>
      </c>
      <c r="L79" s="6"/>
      <c r="M79" s="6"/>
      <c r="N79" s="6"/>
      <c r="P79" s="20"/>
      <c r="R79" s="33"/>
    </row>
    <row r="80" spans="1:18" x14ac:dyDescent="0.35">
      <c r="R80" s="33"/>
    </row>
    <row r="81" spans="1:18" x14ac:dyDescent="0.35">
      <c r="H81" s="44" t="s">
        <v>15</v>
      </c>
      <c r="I81" s="44"/>
      <c r="J81" s="44"/>
      <c r="K81" s="44"/>
      <c r="L81" s="44"/>
      <c r="M81" s="44"/>
      <c r="N81" s="44"/>
      <c r="P81" s="26" t="s">
        <v>50</v>
      </c>
      <c r="Q81" s="27" t="s">
        <v>46</v>
      </c>
      <c r="R81" s="27" t="s">
        <v>47</v>
      </c>
    </row>
    <row r="82" spans="1:18" x14ac:dyDescent="0.35">
      <c r="H82" s="4" t="s">
        <v>0</v>
      </c>
      <c r="I82" s="4" t="s">
        <v>1</v>
      </c>
      <c r="J82" s="4" t="s">
        <v>1</v>
      </c>
      <c r="K82" s="4" t="s">
        <v>2</v>
      </c>
      <c r="L82" s="4" t="s">
        <v>3</v>
      </c>
      <c r="M82" s="4" t="s">
        <v>4</v>
      </c>
      <c r="N82" s="4" t="s">
        <v>5</v>
      </c>
    </row>
    <row r="83" spans="1:18" ht="39.75" customHeight="1" x14ac:dyDescent="0.35">
      <c r="A83" s="14">
        <f>+MONTH(L78)</f>
        <v>9</v>
      </c>
      <c r="B83" s="14">
        <f>+DAY(L78)</f>
        <v>24</v>
      </c>
      <c r="C83" s="14">
        <f>+MONTH(K79)</f>
        <v>9</v>
      </c>
      <c r="D83" s="14">
        <f>+DAY(K79)</f>
        <v>30</v>
      </c>
      <c r="E83" s="15">
        <f>IF(A83=C83,D83-B83+1,DAY(EOMONTH(L78,0))-B83+D83+1)</f>
        <v>7</v>
      </c>
      <c r="F83" s="14">
        <f>+F79</f>
        <v>39</v>
      </c>
      <c r="H83" s="6"/>
      <c r="I83" s="6"/>
      <c r="J83" s="10"/>
      <c r="K83" s="9"/>
      <c r="L83" s="8">
        <f>+K79+1</f>
        <v>44470</v>
      </c>
      <c r="M83" s="8">
        <f t="shared" ref="M83:N83" si="70">+L83+1</f>
        <v>44471</v>
      </c>
      <c r="N83" s="8">
        <f t="shared" si="70"/>
        <v>44472</v>
      </c>
      <c r="P83" s="20">
        <f t="shared" ref="P83:P87" si="71">DATE(2021,C83,D83+1)</f>
        <v>44470</v>
      </c>
      <c r="Q83" s="21" t="str">
        <f>IF(A83=C83,"Informe "&amp;D83-B83+1&amp;" días ( "&amp;D83-B83&amp;" reales y 1 proyectado); Reales del "&amp;B83&amp;"/"&amp;C83&amp;" al "&amp;D83-1&amp;"/"&amp;A83&amp;" ,Proyectado "&amp;D83&amp;"/"&amp;A83,"Informe "&amp;DAY(EOMONTH(L78,0))-B83+D83+1&amp;" días ( "&amp;DAY(EOMONTH(L78,0))-B83+D83&amp;" reales y 1 proyectado); Reales del "&amp;B83&amp;"/"&amp;A83&amp;" al "&amp;D79&amp;"/"&amp;C83&amp;" ,Proyectado "&amp;D83&amp;"/"&amp;C83)</f>
        <v>Informe 7 días ( 6 reales y 1 proyectado); Reales del 24/9 al 29/9 ,Proyectado 30/9</v>
      </c>
      <c r="R83" s="21"/>
    </row>
    <row r="84" spans="1:18" ht="39.75" customHeight="1" x14ac:dyDescent="0.35">
      <c r="A84" s="14">
        <f>+MONTH(L83)</f>
        <v>10</v>
      </c>
      <c r="B84" s="14">
        <f>+DAY(L83)</f>
        <v>1</v>
      </c>
      <c r="C84" s="14">
        <f>+MONTH(K84)</f>
        <v>10</v>
      </c>
      <c r="D84" s="14">
        <f>+DAY(K84)</f>
        <v>7</v>
      </c>
      <c r="E84" s="15">
        <f t="shared" ref="E84:E87" si="72">IF(A84=C84,D84-B84+1,DAY(EOMONTH(I84,0))-B84+D84+1)</f>
        <v>7</v>
      </c>
      <c r="F84" s="14">
        <f t="shared" ref="F84:F87" si="73">1+F83</f>
        <v>40</v>
      </c>
      <c r="H84" s="8">
        <f>1+N83</f>
        <v>44473</v>
      </c>
      <c r="I84" s="8">
        <f t="shared" ref="I84:N87" si="74">+H84+1</f>
        <v>44474</v>
      </c>
      <c r="J84" s="8">
        <f t="shared" si="74"/>
        <v>44475</v>
      </c>
      <c r="K84" s="8">
        <f t="shared" si="74"/>
        <v>44476</v>
      </c>
      <c r="L84" s="9">
        <f t="shared" si="74"/>
        <v>44477</v>
      </c>
      <c r="M84" s="9">
        <f t="shared" si="74"/>
        <v>44478</v>
      </c>
      <c r="N84" s="9">
        <f t="shared" si="74"/>
        <v>44479</v>
      </c>
      <c r="P84" s="20">
        <f t="shared" si="71"/>
        <v>44477</v>
      </c>
      <c r="Q84" s="21" t="str">
        <f>IF(A84=C84,"Informe "&amp;D84-B84+1&amp;" días ( "&amp;D84-B84&amp;" reales y 1 proyectado); Reales del "&amp;B84&amp;"/"&amp;C84&amp;" al "&amp;D84-1&amp;"/"&amp;A84&amp;" ,Proyectado "&amp;D84&amp;"/"&amp;A84,"Informe "&amp;DAY(EOMONTH(K84,0))-B84+D84+1&amp;" días ( "&amp;DAY(EOMONTH(K84,0))-B84+D84&amp;" reales y 1 proyectado); Reales del "&amp;B84&amp;"/"&amp;A84&amp;" al "&amp;D84-1&amp;"/"&amp;C84&amp;" ,Proyectado "&amp;D84&amp;"/"&amp;C84)</f>
        <v>Informe 7 días ( 6 reales y 1 proyectado); Reales del 1/10 al 6/10 ,Proyectado 7/10</v>
      </c>
      <c r="R84" s="21"/>
    </row>
    <row r="85" spans="1:18" ht="39.75" customHeight="1" x14ac:dyDescent="0.35">
      <c r="A85" s="14">
        <f>+MONTH(L84)</f>
        <v>10</v>
      </c>
      <c r="B85" s="14">
        <f>+DAY(L84)</f>
        <v>8</v>
      </c>
      <c r="C85" s="14">
        <f>+MONTH(K85)</f>
        <v>10</v>
      </c>
      <c r="D85" s="14">
        <f>+DAY(K85)</f>
        <v>14</v>
      </c>
      <c r="E85" s="15">
        <f t="shared" si="72"/>
        <v>7</v>
      </c>
      <c r="F85" s="14">
        <f t="shared" si="73"/>
        <v>41</v>
      </c>
      <c r="H85" s="7">
        <f t="shared" ref="H85" si="75">1+N84</f>
        <v>44480</v>
      </c>
      <c r="I85" s="9">
        <f t="shared" si="74"/>
        <v>44481</v>
      </c>
      <c r="J85" s="9">
        <f t="shared" si="74"/>
        <v>44482</v>
      </c>
      <c r="K85" s="9">
        <f t="shared" si="74"/>
        <v>44483</v>
      </c>
      <c r="L85" s="8">
        <f t="shared" si="74"/>
        <v>44484</v>
      </c>
      <c r="M85" s="8">
        <f t="shared" si="74"/>
        <v>44485</v>
      </c>
      <c r="N85" s="8">
        <f t="shared" si="74"/>
        <v>44486</v>
      </c>
      <c r="P85" s="20">
        <f t="shared" si="71"/>
        <v>44484</v>
      </c>
      <c r="Q85" s="21" t="str">
        <f>IF(A85=C85,"Informe "&amp;D85-B85+1&amp;" días ( "&amp;D85-B85&amp;" reales y 1 proyectado); Reales del "&amp;B85&amp;"/"&amp;C85&amp;" al "&amp;D85-1&amp;"/"&amp;A85&amp;" ,Proyectado "&amp;D85&amp;"/"&amp;A85,"Informe "&amp;DAY(EOMONTH(K85,0))-B85+D85+1&amp;" días ( "&amp;DAY(EOMONTH(K85,0))-B85+D85&amp;" reales y 1 proyectado); Reales del "&amp;B85&amp;"/"&amp;A85&amp;" al "&amp;D85-1&amp;"/"&amp;C85&amp;" ,Proyectado "&amp;D85&amp;"/"&amp;C85)</f>
        <v>Informe 7 días ( 6 reales y 1 proyectado); Reales del 8/10 al 13/10 ,Proyectado 14/10</v>
      </c>
      <c r="R85" s="21" t="s">
        <v>68</v>
      </c>
    </row>
    <row r="86" spans="1:18" ht="39.75" customHeight="1" x14ac:dyDescent="0.35">
      <c r="A86" s="14">
        <f>+MONTH(L85)</f>
        <v>10</v>
      </c>
      <c r="B86" s="14">
        <f>+DAY(L85)</f>
        <v>15</v>
      </c>
      <c r="C86" s="14">
        <f>+MONTH(K86)</f>
        <v>10</v>
      </c>
      <c r="D86" s="14">
        <f>+DAY(K86)</f>
        <v>21</v>
      </c>
      <c r="E86" s="15">
        <f t="shared" si="72"/>
        <v>7</v>
      </c>
      <c r="F86" s="14">
        <f t="shared" si="73"/>
        <v>42</v>
      </c>
      <c r="H86" s="8">
        <f>1+N85</f>
        <v>44487</v>
      </c>
      <c r="I86" s="8">
        <f t="shared" si="74"/>
        <v>44488</v>
      </c>
      <c r="J86" s="8">
        <f t="shared" si="74"/>
        <v>44489</v>
      </c>
      <c r="K86" s="8">
        <f t="shared" si="74"/>
        <v>44490</v>
      </c>
      <c r="L86" s="9">
        <f>+K86+1</f>
        <v>44491</v>
      </c>
      <c r="M86" s="9">
        <f t="shared" si="74"/>
        <v>44492</v>
      </c>
      <c r="N86" s="9">
        <f t="shared" si="74"/>
        <v>44493</v>
      </c>
      <c r="P86" s="20">
        <f t="shared" si="71"/>
        <v>44491</v>
      </c>
      <c r="Q86" s="21" t="str">
        <f>IF(A86=C86,"Informe "&amp;D86-B86+1&amp;" días ( "&amp;D86-B86&amp;" reales y 1 proyectado); Reales del "&amp;B86&amp;"/"&amp;C86&amp;" al "&amp;D86-1&amp;"/"&amp;A86&amp;" ,Proyectado "&amp;D86&amp;"/"&amp;A86,"Informe "&amp;DAY(EOMONTH(K86,0))-B86+D86+1&amp;" días ( "&amp;DAY(EOMONTH(K86,0))-B86+D86&amp;" reales y 1 proyectado); Reales del "&amp;B86&amp;"/"&amp;A86&amp;" al "&amp;D86-1&amp;"/"&amp;C86&amp;" ,Proyectado "&amp;D86&amp;"/"&amp;C86)</f>
        <v>Informe 7 días ( 6 reales y 1 proyectado); Reales del 15/10 al 20/10 ,Proyectado 21/10</v>
      </c>
      <c r="R86" s="21"/>
    </row>
    <row r="87" spans="1:18" ht="39.75" customHeight="1" x14ac:dyDescent="0.35">
      <c r="A87" s="14">
        <f>+MONTH(L86)</f>
        <v>10</v>
      </c>
      <c r="B87" s="14">
        <f>+DAY(L86)</f>
        <v>22</v>
      </c>
      <c r="C87" s="14">
        <f>+MONTH(K87)</f>
        <v>10</v>
      </c>
      <c r="D87" s="14">
        <f>+DAY(K87)</f>
        <v>28</v>
      </c>
      <c r="E87" s="15">
        <f t="shared" si="72"/>
        <v>7</v>
      </c>
      <c r="F87" s="14">
        <f t="shared" si="73"/>
        <v>43</v>
      </c>
      <c r="H87" s="9">
        <f t="shared" ref="H87" si="76">1+N86</f>
        <v>44494</v>
      </c>
      <c r="I87" s="9">
        <f t="shared" si="74"/>
        <v>44495</v>
      </c>
      <c r="J87" s="9">
        <f t="shared" si="74"/>
        <v>44496</v>
      </c>
      <c r="K87" s="9">
        <f t="shared" si="74"/>
        <v>44497</v>
      </c>
      <c r="L87" s="8">
        <f t="shared" si="74"/>
        <v>44498</v>
      </c>
      <c r="M87" s="8">
        <f t="shared" si="74"/>
        <v>44499</v>
      </c>
      <c r="N87" s="7">
        <f t="shared" si="74"/>
        <v>44500</v>
      </c>
      <c r="P87" s="20">
        <f t="shared" si="71"/>
        <v>44498</v>
      </c>
      <c r="Q87" s="21" t="str">
        <f>IF(A87=C87,"Informe "&amp;D87-B87+1&amp;" días ( "&amp;D87-B87&amp;" reales y 1 proyectado); Reales del "&amp;B87&amp;"/"&amp;C87&amp;" al "&amp;D87-1&amp;"/"&amp;A87&amp;" ,Proyectado "&amp;D87&amp;"/"&amp;A87,"Informe "&amp;DAY(EOMONTH(K87,0))-B87+D87+1&amp;" días ( "&amp;DAY(EOMONTH(K87,0))-B87+D87&amp;" reales y 1 proyectado); Reales del "&amp;B87&amp;"/"&amp;A87&amp;" al "&amp;D87-1&amp;"/"&amp;C87&amp;" ,Proyectado "&amp;D87&amp;"/"&amp;C87)</f>
        <v>Informe 7 días ( 6 reales y 1 proyectado); Reales del 22/10 al 27/10 ,Proyectado 28/10</v>
      </c>
      <c r="R87" s="21" t="s">
        <v>69</v>
      </c>
    </row>
    <row r="88" spans="1:18" x14ac:dyDescent="0.35">
      <c r="R88" s="33"/>
    </row>
    <row r="89" spans="1:18" x14ac:dyDescent="0.35">
      <c r="H89" s="44" t="s">
        <v>16</v>
      </c>
      <c r="I89" s="44"/>
      <c r="J89" s="44"/>
      <c r="K89" s="44"/>
      <c r="L89" s="44"/>
      <c r="M89" s="44"/>
      <c r="N89" s="44"/>
      <c r="P89" s="26" t="s">
        <v>50</v>
      </c>
      <c r="Q89" s="27" t="s">
        <v>46</v>
      </c>
      <c r="R89" s="27" t="s">
        <v>47</v>
      </c>
    </row>
    <row r="90" spans="1:18" x14ac:dyDescent="0.35">
      <c r="H90" s="4" t="s">
        <v>0</v>
      </c>
      <c r="I90" s="4" t="s">
        <v>1</v>
      </c>
      <c r="J90" s="4" t="s">
        <v>1</v>
      </c>
      <c r="K90" s="4" t="s">
        <v>2</v>
      </c>
      <c r="L90" s="4" t="s">
        <v>3</v>
      </c>
      <c r="M90" s="4" t="s">
        <v>4</v>
      </c>
      <c r="N90" s="4" t="s">
        <v>5</v>
      </c>
    </row>
    <row r="91" spans="1:18" ht="39.75" customHeight="1" x14ac:dyDescent="0.35">
      <c r="A91" s="14">
        <f>+MONTH(L87)</f>
        <v>10</v>
      </c>
      <c r="B91" s="14">
        <f>+DAY(L87)</f>
        <v>29</v>
      </c>
      <c r="C91" s="14">
        <f>+MONTH(K91)</f>
        <v>11</v>
      </c>
      <c r="D91" s="14">
        <f>+DAY(K91)</f>
        <v>4</v>
      </c>
      <c r="E91" s="15">
        <f>IF(A91=C91,D91-B91+1,DAY(EOMONTH(I87,0))-B91+D91+1)</f>
        <v>7</v>
      </c>
      <c r="F91" s="14">
        <f>1+F87</f>
        <v>44</v>
      </c>
      <c r="H91" s="7">
        <f>1+N87</f>
        <v>44501</v>
      </c>
      <c r="I91" s="8">
        <f t="shared" ref="I91:N91" si="77">+H91+1</f>
        <v>44502</v>
      </c>
      <c r="J91" s="8">
        <f t="shared" si="77"/>
        <v>44503</v>
      </c>
      <c r="K91" s="8">
        <f t="shared" si="77"/>
        <v>44504</v>
      </c>
      <c r="L91" s="9">
        <f t="shared" si="77"/>
        <v>44505</v>
      </c>
      <c r="M91" s="9">
        <f t="shared" si="77"/>
        <v>44506</v>
      </c>
      <c r="N91" s="9">
        <f t="shared" si="77"/>
        <v>44507</v>
      </c>
      <c r="P91" s="20">
        <f t="shared" ref="P91:P94" si="78">DATE(2021,C91,D91+1)</f>
        <v>44505</v>
      </c>
      <c r="Q91" s="21" t="str">
        <f>IF(A91=C91,"Informe "&amp;D91-B91+1&amp;" días ( "&amp;D91-B91&amp;" reales y 1 proyectado); Reales del "&amp;B91&amp;"/"&amp;C91&amp;" al "&amp;D91-1&amp;"/"&amp;A91&amp;" ,Proyectado "&amp;D91&amp;"/"&amp;A91,"Informe "&amp;DAY(EOMONTH(L87,0))-B91+D91+1&amp;" días ( "&amp;DAY(EOMONTH(L87,0))-B91+D91&amp;" reales y 1 proyectado); Reales del "&amp;B91&amp;"/"&amp;A91&amp;" al "&amp;D91-1&amp;"/"&amp;C91&amp;" ,Proyectado "&amp;D91&amp;"/"&amp;C91)</f>
        <v>Informe 7 días ( 6 reales y 1 proyectado); Reales del 29/10 al 3/11 ,Proyectado 4/11</v>
      </c>
      <c r="R91" s="21" t="s">
        <v>70</v>
      </c>
    </row>
    <row r="92" spans="1:18" ht="39.75" customHeight="1" x14ac:dyDescent="0.35">
      <c r="A92" s="14">
        <f>+MONTH(L91)</f>
        <v>11</v>
      </c>
      <c r="B92" s="14">
        <f>+DAY(L91)</f>
        <v>5</v>
      </c>
      <c r="C92" s="14">
        <f>+MONTH(K92)</f>
        <v>11</v>
      </c>
      <c r="D92" s="14">
        <f>+DAY(K92)</f>
        <v>11</v>
      </c>
      <c r="E92" s="15">
        <f t="shared" ref="E92:E94" si="79">IF(A92=C92,D92-B92+1,DAY(EOMONTH(I92,0))-B92+D92+1)</f>
        <v>7</v>
      </c>
      <c r="F92" s="14">
        <f t="shared" ref="F92:F93" si="80">1+F91</f>
        <v>45</v>
      </c>
      <c r="H92" s="9">
        <f t="shared" ref="H92" si="81">1+N91</f>
        <v>44508</v>
      </c>
      <c r="I92" s="9">
        <f t="shared" ref="I92:N94" si="82">+H92+1</f>
        <v>44509</v>
      </c>
      <c r="J92" s="9">
        <f t="shared" si="82"/>
        <v>44510</v>
      </c>
      <c r="K92" s="9">
        <f t="shared" si="82"/>
        <v>44511</v>
      </c>
      <c r="L92" s="8">
        <f t="shared" si="82"/>
        <v>44512</v>
      </c>
      <c r="M92" s="8">
        <f t="shared" si="82"/>
        <v>44513</v>
      </c>
      <c r="N92" s="8">
        <f t="shared" si="82"/>
        <v>44514</v>
      </c>
      <c r="P92" s="20">
        <f t="shared" si="78"/>
        <v>44512</v>
      </c>
      <c r="Q92" s="21" t="str">
        <f>IF(A92=C92,"Informe "&amp;D92-B92+1&amp;" días ( "&amp;D92-B92&amp;" reales y 1 proyectado); Reales del "&amp;B92&amp;"/"&amp;C92&amp;" al "&amp;D92-1&amp;"/"&amp;A92&amp;" ,Proyectado "&amp;D92&amp;"/"&amp;A92,"Informe "&amp;DAY(EOMONTH(K92,0))-B92+D92+1&amp;" días ( "&amp;DAY(EOMONTH(K92,0))-B92+D92&amp;" reales y 1 proyectado); Reales del "&amp;B92&amp;"/"&amp;A92&amp;" al "&amp;D92-1&amp;"/"&amp;C92&amp;" ,Proyectado "&amp;D92&amp;"/"&amp;C92)</f>
        <v>Informe 7 días ( 6 reales y 1 proyectado); Reales del 5/11 al 10/11 ,Proyectado 11/11</v>
      </c>
      <c r="R92" s="21"/>
    </row>
    <row r="93" spans="1:18" ht="39.75" customHeight="1" x14ac:dyDescent="0.35">
      <c r="A93" s="14">
        <f>+MONTH(L92)</f>
        <v>11</v>
      </c>
      <c r="B93" s="14">
        <f>+DAY(L92)</f>
        <v>12</v>
      </c>
      <c r="C93" s="14">
        <f>+MONTH(K93)</f>
        <v>11</v>
      </c>
      <c r="D93" s="14">
        <f>+DAY(K93)</f>
        <v>18</v>
      </c>
      <c r="E93" s="15">
        <f t="shared" si="79"/>
        <v>7</v>
      </c>
      <c r="F93" s="14">
        <f t="shared" si="80"/>
        <v>46</v>
      </c>
      <c r="H93" s="8">
        <f>1+N92</f>
        <v>44515</v>
      </c>
      <c r="I93" s="8">
        <f t="shared" ref="I93:N93" si="83">+H93+1</f>
        <v>44516</v>
      </c>
      <c r="J93" s="8">
        <f t="shared" si="83"/>
        <v>44517</v>
      </c>
      <c r="K93" s="8">
        <f t="shared" si="83"/>
        <v>44518</v>
      </c>
      <c r="L93" s="9">
        <f t="shared" si="83"/>
        <v>44519</v>
      </c>
      <c r="M93" s="9">
        <f t="shared" si="83"/>
        <v>44520</v>
      </c>
      <c r="N93" s="9">
        <f t="shared" si="83"/>
        <v>44521</v>
      </c>
      <c r="P93" s="20">
        <f t="shared" si="78"/>
        <v>44519</v>
      </c>
      <c r="Q93" s="21" t="str">
        <f>IF(A93=C93,"Informe "&amp;D93-B93+1&amp;" días ( "&amp;D93-B93&amp;" reales y 1 proyectado); Reales del "&amp;B93&amp;"/"&amp;C93&amp;" al "&amp;D93-1&amp;"/"&amp;A93&amp;" ,Proyectado "&amp;D93&amp;"/"&amp;A93,"Informe "&amp;DAY(EOMONTH(K93,0))-B93+D93+1&amp;" días ( "&amp;DAY(EOMONTH(K93,0))-B93+D93&amp;" reales y 1 proyectado); Reales del "&amp;B93&amp;"/"&amp;A93&amp;" al "&amp;D93-1&amp;"/"&amp;C93&amp;" ,Proyectado "&amp;D93&amp;"/"&amp;C93)</f>
        <v>Informe 7 días ( 6 reales y 1 proyectado); Reales del 12/11 al 17/11 ,Proyectado 18/11</v>
      </c>
      <c r="R93" s="21"/>
    </row>
    <row r="94" spans="1:18" ht="39.75" customHeight="1" x14ac:dyDescent="0.35">
      <c r="A94" s="14">
        <f>+MONTH(L93)</f>
        <v>11</v>
      </c>
      <c r="B94" s="14">
        <f>+DAY(L93)</f>
        <v>19</v>
      </c>
      <c r="C94" s="14">
        <f>+MONTH(K94)</f>
        <v>11</v>
      </c>
      <c r="D94" s="14">
        <f>+DAY(K94)</f>
        <v>25</v>
      </c>
      <c r="E94" s="15">
        <f t="shared" si="79"/>
        <v>7</v>
      </c>
      <c r="F94" s="14">
        <f t="shared" ref="F94:F95" si="84">1+F93</f>
        <v>47</v>
      </c>
      <c r="H94" s="9">
        <f>1+N93</f>
        <v>44522</v>
      </c>
      <c r="I94" s="9">
        <f t="shared" si="82"/>
        <v>44523</v>
      </c>
      <c r="J94" s="9">
        <f t="shared" si="82"/>
        <v>44524</v>
      </c>
      <c r="K94" s="9">
        <f t="shared" si="82"/>
        <v>44525</v>
      </c>
      <c r="L94" s="8">
        <f t="shared" si="82"/>
        <v>44526</v>
      </c>
      <c r="M94" s="8">
        <f t="shared" si="82"/>
        <v>44527</v>
      </c>
      <c r="N94" s="8">
        <f>+M94+1</f>
        <v>44528</v>
      </c>
      <c r="P94" s="20">
        <f t="shared" si="78"/>
        <v>44526</v>
      </c>
      <c r="Q94" s="21" t="str">
        <f>IF(A94=C94,"Informe "&amp;D94-B94+1&amp;" días ( "&amp;D94-B94&amp;" reales y 1 proyectado); Reales del "&amp;B94&amp;"/"&amp;C94&amp;" al "&amp;D94-1&amp;"/"&amp;A94&amp;" ,Proyectado "&amp;D94&amp;"/"&amp;A94,"Informe "&amp;DAY(EOMONTH(K94,0))-B94+D94+1&amp;" días ( "&amp;DAY(EOMONTH(K94,0))-B94+D94&amp;" reales y 1 proyectado); Reales del "&amp;B94&amp;"/"&amp;A94&amp;" al "&amp;D94-1&amp;"/"&amp;C94&amp;" ,Proyectado "&amp;D94&amp;"/"&amp;C94)</f>
        <v>Informe 7 días ( 6 reales y 1 proyectado); Reales del 19/11 al 24/11 ,Proyectado 25/11</v>
      </c>
      <c r="R94" s="21"/>
    </row>
    <row r="95" spans="1:18" ht="39.75" customHeight="1" x14ac:dyDescent="0.35">
      <c r="F95" s="14">
        <f t="shared" si="84"/>
        <v>48</v>
      </c>
      <c r="H95" s="8">
        <f>1+N94</f>
        <v>44529</v>
      </c>
      <c r="I95" s="8">
        <v>44530</v>
      </c>
      <c r="J95" s="8"/>
      <c r="K95" s="6"/>
      <c r="L95" s="6"/>
      <c r="M95" s="6"/>
      <c r="N95" s="6"/>
      <c r="P95" s="28"/>
      <c r="R95" s="33"/>
    </row>
    <row r="96" spans="1:18" x14ac:dyDescent="0.35">
      <c r="R96" s="33"/>
    </row>
    <row r="97" spans="1:18" x14ac:dyDescent="0.35">
      <c r="H97" s="44" t="s">
        <v>17</v>
      </c>
      <c r="I97" s="44"/>
      <c r="J97" s="44"/>
      <c r="K97" s="44"/>
      <c r="L97" s="44"/>
      <c r="M97" s="44"/>
      <c r="N97" s="44"/>
      <c r="P97" s="26" t="s">
        <v>50</v>
      </c>
      <c r="Q97" s="27" t="s">
        <v>46</v>
      </c>
      <c r="R97" s="27" t="s">
        <v>47</v>
      </c>
    </row>
    <row r="98" spans="1:18" x14ac:dyDescent="0.35">
      <c r="H98" s="4" t="s">
        <v>0</v>
      </c>
      <c r="I98" s="4" t="s">
        <v>1</v>
      </c>
      <c r="J98" s="4" t="s">
        <v>1</v>
      </c>
      <c r="K98" s="4" t="s">
        <v>2</v>
      </c>
      <c r="L98" s="4" t="s">
        <v>3</v>
      </c>
      <c r="M98" s="4" t="s">
        <v>4</v>
      </c>
      <c r="N98" s="4" t="s">
        <v>5</v>
      </c>
    </row>
    <row r="99" spans="1:18" ht="39.75" customHeight="1" x14ac:dyDescent="0.35">
      <c r="A99" s="14">
        <f>+MONTH(L94)</f>
        <v>11</v>
      </c>
      <c r="B99" s="14">
        <f>+DAY(L94)</f>
        <v>26</v>
      </c>
      <c r="C99" s="14">
        <f>+MONTH(K99)</f>
        <v>12</v>
      </c>
      <c r="D99" s="14">
        <f>+DAY(K99)</f>
        <v>2</v>
      </c>
      <c r="E99" s="15">
        <f>IF(A99=C99,D99-B99+1,DAY(EOMONTH(I94,0))-B99+D99+1)</f>
        <v>7</v>
      </c>
      <c r="F99" s="14">
        <f>+F95</f>
        <v>48</v>
      </c>
      <c r="H99" s="6"/>
      <c r="I99" s="8"/>
      <c r="J99" s="8">
        <f>+I95+1</f>
        <v>44531</v>
      </c>
      <c r="K99" s="8">
        <f t="shared" ref="K99:N99" si="85">+J99+1</f>
        <v>44532</v>
      </c>
      <c r="L99" s="9">
        <f t="shared" si="85"/>
        <v>44533</v>
      </c>
      <c r="M99" s="9">
        <f t="shared" si="85"/>
        <v>44534</v>
      </c>
      <c r="N99" s="9">
        <f t="shared" si="85"/>
        <v>44535</v>
      </c>
      <c r="P99" s="20">
        <f>DATE(2021,C99,D99+1)</f>
        <v>44533</v>
      </c>
      <c r="Q99" s="21" t="str">
        <f>IF(A99=C99,"Informe "&amp;D99-B99+1&amp;" días ( "&amp;D99-B99&amp;" reales y 1 proyectado); Reales del "&amp;B99&amp;"/"&amp;C99&amp;" al "&amp;D99-1&amp;"/"&amp;A99&amp;" ,Proyectado "&amp;D99&amp;"/"&amp;A99,"Informe "&amp;DAY(EOMONTH(L94,0))-B99+D99+1&amp;" días ( "&amp;DAY(EOMONTH(L94,0))-B99+D99&amp;" reales y 1 proyectado); Reales del "&amp;B99&amp;"/"&amp;A99&amp;" al "&amp;D99-1&amp;"/"&amp;C99&amp;" ,Proyectado "&amp;D99&amp;"/"&amp;C99)</f>
        <v>Informe 7 días ( 6 reales y 1 proyectado); Reales del 26/11 al 1/12 ,Proyectado 2/12</v>
      </c>
      <c r="R99" s="21" t="s">
        <v>71</v>
      </c>
    </row>
    <row r="100" spans="1:18" ht="39.75" customHeight="1" x14ac:dyDescent="0.35">
      <c r="A100" s="14">
        <f>+MONTH(L99)</f>
        <v>12</v>
      </c>
      <c r="B100" s="14">
        <f>+DAY(L99)</f>
        <v>3</v>
      </c>
      <c r="C100" s="14">
        <f>+MONTH(K100)</f>
        <v>12</v>
      </c>
      <c r="D100" s="14">
        <f>+DAY(K100)</f>
        <v>9</v>
      </c>
      <c r="E100" s="15">
        <f>IF(A100=C100,D100-B100+1,DAY(EOMONTH(I100,0))-B100+D100+1)</f>
        <v>7</v>
      </c>
      <c r="F100" s="14">
        <f t="shared" ref="F100:F103" si="86">1+F99</f>
        <v>49</v>
      </c>
      <c r="H100" s="9">
        <f t="shared" ref="H100" si="87">1+N99</f>
        <v>44536</v>
      </c>
      <c r="I100" s="9">
        <f t="shared" ref="I100:N100" si="88">+H100+1</f>
        <v>44537</v>
      </c>
      <c r="J100" s="7">
        <f t="shared" si="88"/>
        <v>44538</v>
      </c>
      <c r="K100" s="9">
        <f t="shared" si="88"/>
        <v>44539</v>
      </c>
      <c r="L100" s="8">
        <f t="shared" si="88"/>
        <v>44540</v>
      </c>
      <c r="M100" s="8">
        <f t="shared" si="88"/>
        <v>44541</v>
      </c>
      <c r="N100" s="8">
        <f t="shared" si="88"/>
        <v>44542</v>
      </c>
      <c r="P100" s="20">
        <f>DATE(2021,C100,D100+1)</f>
        <v>44540</v>
      </c>
      <c r="Q100" s="21" t="str">
        <f>IF(A100=C100,"Informe "&amp;D100-B100+1&amp;" días ( "&amp;D100-B100&amp;" reales y 1 proyectado); Reales del "&amp;B100&amp;"/"&amp;C100&amp;" al "&amp;D100-1&amp;"/"&amp;A100&amp;" ,Proyectado "&amp;D100&amp;"/"&amp;A100,"Informe "&amp;DAY(EOMONTH(K100,0))-B100+D100+1&amp;" días ( "&amp;DAY(EOMONTH(K100,0))-B100+D100&amp;" reales y 1 proyectado); Reales del "&amp;B100&amp;"/"&amp;A100&amp;" al "&amp;D100-1&amp;"/"&amp;C100&amp;" ,Proyectado "&amp;D100&amp;"/"&amp;C100)</f>
        <v>Informe 7 días ( 6 reales y 1 proyectado); Reales del 3/12 al 8/12 ,Proyectado 9/12</v>
      </c>
      <c r="R100" s="21" t="s">
        <v>72</v>
      </c>
    </row>
    <row r="101" spans="1:18" ht="39.75" customHeight="1" x14ac:dyDescent="0.35">
      <c r="A101" s="14">
        <f>+MONTH(L100)</f>
        <v>12</v>
      </c>
      <c r="B101" s="14">
        <f>+DAY(L100)</f>
        <v>10</v>
      </c>
      <c r="C101" s="14">
        <f>+MONTH(K101)</f>
        <v>12</v>
      </c>
      <c r="D101" s="14">
        <f>+DAY(K101)</f>
        <v>16</v>
      </c>
      <c r="E101" s="15">
        <f>IF(A101=C101,D101-B101+1,DAY(EOMONTH(I101,0))-B101+D101+1)</f>
        <v>7</v>
      </c>
      <c r="F101" s="14">
        <f t="shared" si="86"/>
        <v>50</v>
      </c>
      <c r="H101" s="8">
        <f>1+N100</f>
        <v>44543</v>
      </c>
      <c r="I101" s="8">
        <f t="shared" ref="I101:N103" si="89">+H101+1</f>
        <v>44544</v>
      </c>
      <c r="J101" s="8">
        <f t="shared" si="89"/>
        <v>44545</v>
      </c>
      <c r="K101" s="8">
        <f t="shared" si="89"/>
        <v>44546</v>
      </c>
      <c r="L101" s="9">
        <f t="shared" si="89"/>
        <v>44547</v>
      </c>
      <c r="M101" s="9">
        <f t="shared" si="89"/>
        <v>44548</v>
      </c>
      <c r="N101" s="9">
        <f t="shared" si="89"/>
        <v>44549</v>
      </c>
      <c r="P101" s="20">
        <f t="shared" ref="P101:P103" si="90">DATE(2021,C101,D101+1)</f>
        <v>44547</v>
      </c>
      <c r="Q101" s="21" t="str">
        <f>IF(A101=C101,"Informe "&amp;D101-B101+1&amp;" días ( "&amp;D101-B101&amp;" reales y 1 proyectado); Reales del "&amp;B101&amp;"/"&amp;C101&amp;" al "&amp;D101-1&amp;"/"&amp;A101&amp;" ,Proyectado "&amp;D101&amp;"/"&amp;A101,"Informe "&amp;DAY(EOMONTH(K101,0))-B101+D101+1&amp;" días ( "&amp;DAY(EOMONTH(K101,0))-B101+D101&amp;" reales y 1 proyectado); Reales del "&amp;B101&amp;"/"&amp;A101&amp;" al "&amp;D101-1&amp;"/"&amp;C101&amp;" ,Proyectado "&amp;D101&amp;"/"&amp;C101)</f>
        <v>Informe 7 días ( 6 reales y 1 proyectado); Reales del 10/12 al 15/12 ,Proyectado 16/12</v>
      </c>
      <c r="R101" s="21"/>
    </row>
    <row r="102" spans="1:18" ht="39.75" customHeight="1" x14ac:dyDescent="0.35">
      <c r="A102" s="14">
        <f>+MONTH(L101)</f>
        <v>12</v>
      </c>
      <c r="B102" s="14">
        <f>+DAY(L101)</f>
        <v>17</v>
      </c>
      <c r="C102" s="14">
        <f>+MONTH(K102)</f>
        <v>12</v>
      </c>
      <c r="D102" s="14">
        <f>+DAY(K102)</f>
        <v>23</v>
      </c>
      <c r="E102" s="15">
        <f>IF(A102=C102,D102-B102+1,DAY(EOMONTH(I102,0))-B102+D102+1)</f>
        <v>7</v>
      </c>
      <c r="F102" s="14">
        <f t="shared" si="86"/>
        <v>51</v>
      </c>
      <c r="H102" s="9">
        <f t="shared" ref="H102" si="91">1+N101</f>
        <v>44550</v>
      </c>
      <c r="I102" s="9">
        <f t="shared" ref="I102:N102" si="92">+H102+1</f>
        <v>44551</v>
      </c>
      <c r="J102" s="9">
        <f t="shared" si="92"/>
        <v>44552</v>
      </c>
      <c r="K102" s="9">
        <f t="shared" si="92"/>
        <v>44553</v>
      </c>
      <c r="L102" s="8">
        <f t="shared" si="92"/>
        <v>44554</v>
      </c>
      <c r="M102" s="7">
        <f t="shared" si="92"/>
        <v>44555</v>
      </c>
      <c r="N102" s="8">
        <f t="shared" si="92"/>
        <v>44556</v>
      </c>
      <c r="P102" s="20">
        <f t="shared" si="90"/>
        <v>44554</v>
      </c>
      <c r="Q102" s="21" t="str">
        <f>IF(A102=C102,"Informe "&amp;D102-B102+1&amp;" días ( "&amp;D102-B102&amp;" reales y 1 proyectado); Reales del "&amp;B102&amp;"/"&amp;C102&amp;" al "&amp;D102-1&amp;"/"&amp;A102&amp;" ,Proyectado "&amp;D102&amp;"/"&amp;A102,"Informe "&amp;DAY(EOMONTH(K102,0))-B102+D102+1&amp;" días ( "&amp;DAY(EOMONTH(K102,0))-B102+D102&amp;" reales y 1 proyectado); Reales del "&amp;B102&amp;"/"&amp;A102&amp;" al "&amp;D102-1&amp;"/"&amp;C102&amp;" ,Proyectado "&amp;D102&amp;"/"&amp;C102)</f>
        <v>Informe 7 días ( 6 reales y 1 proyectado); Reales del 17/12 al 22/12 ,Proyectado 23/12</v>
      </c>
      <c r="R102" s="21"/>
    </row>
    <row r="103" spans="1:18" ht="39.75" customHeight="1" x14ac:dyDescent="0.35">
      <c r="A103" s="14">
        <f>+MONTH(L102)</f>
        <v>12</v>
      </c>
      <c r="B103" s="14">
        <f>+DAY(L102)</f>
        <v>24</v>
      </c>
      <c r="C103" s="14">
        <f>+MONTH(K103)</f>
        <v>12</v>
      </c>
      <c r="D103" s="14">
        <f>+DAY(K103)</f>
        <v>30</v>
      </c>
      <c r="E103" s="15">
        <f t="shared" ref="E103" si="93">IF(A103=C103,D103-B103+1,DAY(EOMONTH(I103,0))-B103+D103+1)</f>
        <v>7</v>
      </c>
      <c r="F103" s="14">
        <f t="shared" si="86"/>
        <v>52</v>
      </c>
      <c r="H103" s="8">
        <f>1+N102</f>
        <v>44557</v>
      </c>
      <c r="I103" s="8">
        <f t="shared" si="89"/>
        <v>44558</v>
      </c>
      <c r="J103" s="8">
        <f t="shared" si="89"/>
        <v>44559</v>
      </c>
      <c r="K103" s="8">
        <f t="shared" si="89"/>
        <v>44560</v>
      </c>
      <c r="L103" s="9">
        <f>1+K103</f>
        <v>44561</v>
      </c>
      <c r="M103" s="7">
        <f>1+L103</f>
        <v>44562</v>
      </c>
      <c r="N103" s="10"/>
      <c r="P103" s="20">
        <f t="shared" si="90"/>
        <v>44561</v>
      </c>
      <c r="Q103" s="21" t="str">
        <f>IF(A103=C103,"Informe "&amp;D103-B103+1&amp;" días ( "&amp;D103-B103&amp;" reales y 1 proyectado); Reales del "&amp;B103&amp;"/"&amp;C103&amp;" al "&amp;D103-1&amp;"/"&amp;A103&amp;" ,Proyectado "&amp;D103&amp;"/"&amp;A103,"Informe "&amp;DAY(EOMONTH(K103,0))-B103+D103+1&amp;" días ( "&amp;DAY(EOMONTH(K103,0))-B103+D103&amp;" reales y 1 proyectado); Reales del "&amp;B103&amp;"/"&amp;A103&amp;" al "&amp;D103-1&amp;"/"&amp;C103&amp;" ,Proyectado "&amp;D103&amp;"/"&amp;C103)</f>
        <v>Informe 7 días ( 6 reales y 1 proyectado); Reales del 24/12 al 29/12 ,Proyectado 30/12</v>
      </c>
      <c r="R103" s="21" t="s">
        <v>73</v>
      </c>
    </row>
    <row r="104" spans="1:18" x14ac:dyDescent="0.35">
      <c r="H104" s="5"/>
      <c r="I104" s="5"/>
      <c r="J104" s="5"/>
      <c r="K104" s="5"/>
      <c r="L104" s="5"/>
      <c r="M104" s="5"/>
      <c r="N104" s="5"/>
      <c r="R104" s="33"/>
    </row>
    <row r="105" spans="1:18" x14ac:dyDescent="0.35">
      <c r="R105" s="33"/>
    </row>
    <row r="106" spans="1:18" x14ac:dyDescent="0.35">
      <c r="R106" s="33"/>
    </row>
    <row r="107" spans="1:18" x14ac:dyDescent="0.35">
      <c r="R107" s="33"/>
    </row>
    <row r="108" spans="1:18" x14ac:dyDescent="0.35">
      <c r="R108" s="33"/>
    </row>
    <row r="109" spans="1:18" x14ac:dyDescent="0.35">
      <c r="R109" s="33"/>
    </row>
    <row r="110" spans="1:18" x14ac:dyDescent="0.35">
      <c r="R110" s="33"/>
    </row>
    <row r="111" spans="1:18" x14ac:dyDescent="0.35">
      <c r="R111" s="33"/>
    </row>
    <row r="112" spans="1:18" x14ac:dyDescent="0.35">
      <c r="R112" s="33"/>
    </row>
    <row r="113" spans="18:18" x14ac:dyDescent="0.35">
      <c r="R113" s="33"/>
    </row>
    <row r="114" spans="18:18" x14ac:dyDescent="0.35">
      <c r="R114" s="33"/>
    </row>
    <row r="115" spans="18:18" x14ac:dyDescent="0.35">
      <c r="R115" s="33"/>
    </row>
    <row r="116" spans="18:18" x14ac:dyDescent="0.35">
      <c r="R116" s="33"/>
    </row>
    <row r="117" spans="18:18" x14ac:dyDescent="0.35">
      <c r="R117" s="33"/>
    </row>
    <row r="118" spans="18:18" x14ac:dyDescent="0.35">
      <c r="R118" s="33"/>
    </row>
    <row r="119" spans="18:18" x14ac:dyDescent="0.35">
      <c r="R119" s="33"/>
    </row>
    <row r="120" spans="18:18" x14ac:dyDescent="0.35">
      <c r="R120" s="33"/>
    </row>
    <row r="121" spans="18:18" x14ac:dyDescent="0.35">
      <c r="R121" s="33"/>
    </row>
    <row r="122" spans="18:18" x14ac:dyDescent="0.35">
      <c r="R122" s="33"/>
    </row>
  </sheetData>
  <mergeCells count="12">
    <mergeCell ref="H4:N4"/>
    <mergeCell ref="H12:N12"/>
    <mergeCell ref="H19:N19"/>
    <mergeCell ref="H28:N28"/>
    <mergeCell ref="H36:N36"/>
    <mergeCell ref="H97:N97"/>
    <mergeCell ref="H45:N45"/>
    <mergeCell ref="H56:N56"/>
    <mergeCell ref="H64:N64"/>
    <mergeCell ref="H73:N73"/>
    <mergeCell ref="H81:N81"/>
    <mergeCell ref="H89:N89"/>
  </mergeCells>
  <pageMargins left="0.23622047244094491" right="0.23622047244094491" top="0.39370078740157483" bottom="0.39370078740157483" header="0.31496062992125984" footer="0.31496062992125984"/>
  <pageSetup scale="43" fitToHeight="0" orientation="portrait" r:id="rId1"/>
  <rowBreaks count="1" manualBreakCount="1">
    <brk id="52" max="16383" man="1"/>
  </rowBreaks>
  <ignoredErrors>
    <ignoredError sqref="C60:D60 A61:B61" formula="1"/>
  </ignoredErrors>
  <drawing r:id="rId2"/>
  <legacyDrawing r:id="rId3"/>
  <controls>
    <mc:AlternateContent xmlns:mc="http://schemas.openxmlformats.org/markup-compatibility/2006">
      <mc:Choice Requires="x14">
        <control shapeId="1025" r:id="rId4" name="FPMExcelClientSheetOptionstb1">
          <controlPr defaultSize="0" autoLin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171450</xdr:colOff>
                <xdr:row>0</xdr:row>
                <xdr:rowOff>0</xdr:rowOff>
              </to>
            </anchor>
          </controlPr>
        </control>
      </mc:Choice>
      <mc:Fallback>
        <control shapeId="1025" r:id="rId4" name="FPMExcelClientSheetOptionstb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6F98-3FBB-41F1-B34E-242EA0D62DBF}">
  <sheetPr codeName="Hoja2">
    <pageSetUpPr fitToPage="1"/>
  </sheetPr>
  <dimension ref="A1:T117"/>
  <sheetViews>
    <sheetView showGridLines="0" tabSelected="1" topLeftCell="H9" zoomScale="115" zoomScaleNormal="115" zoomScaleSheetLayoutView="70" zoomScalePageLayoutView="70" workbookViewId="0">
      <selection activeCell="K59" sqref="K59"/>
    </sheetView>
  </sheetViews>
  <sheetFormatPr baseColWidth="10" defaultRowHeight="14.5" outlineLevelRow="1" outlineLevelCol="1" x14ac:dyDescent="0.35"/>
  <cols>
    <col min="1" max="1" width="9.26953125" style="14" hidden="1" customWidth="1" outlineLevel="1"/>
    <col min="2" max="4" width="6.81640625" style="14" hidden="1" customWidth="1" outlineLevel="1"/>
    <col min="5" max="5" width="9" style="15" hidden="1" customWidth="1" outlineLevel="1"/>
    <col min="6" max="6" width="9.1796875" style="14" hidden="1" customWidth="1" collapsed="1"/>
    <col min="7" max="7" width="9.1796875" style="1" hidden="1" customWidth="1"/>
    <col min="8" max="8" width="3.1796875" style="1" customWidth="1"/>
    <col min="9" max="15" width="8.453125" style="2" customWidth="1"/>
    <col min="16" max="16" width="1.453125" style="2" customWidth="1"/>
    <col min="17" max="17" width="21.453125" style="36" customWidth="1"/>
    <col min="18" max="18" width="10.7265625" style="22" customWidth="1"/>
    <col min="19" max="19" width="77.7265625" style="23" customWidth="1"/>
    <col min="20" max="20" width="44.81640625" style="31" customWidth="1"/>
    <col min="25" max="25" width="11.54296875" customWidth="1"/>
  </cols>
  <sheetData>
    <row r="1" spans="1:20" ht="15.5" x14ac:dyDescent="0.35">
      <c r="A1" s="14">
        <v>2026</v>
      </c>
      <c r="I1" s="16" t="s">
        <v>48</v>
      </c>
      <c r="T1" s="28">
        <f ca="1">TODAY()</f>
        <v>46139</v>
      </c>
    </row>
    <row r="2" spans="1:20" ht="15.5" x14ac:dyDescent="0.35">
      <c r="A2" s="14" t="s">
        <v>23</v>
      </c>
      <c r="I2" s="16" t="str">
        <f>+"PROGRAMACION  "&amp;A1</f>
        <v>PROGRAMACION  2026</v>
      </c>
      <c r="Q2" s="37"/>
      <c r="R2" s="24"/>
      <c r="S2" s="25"/>
      <c r="T2" s="29" t="s">
        <v>49</v>
      </c>
    </row>
    <row r="3" spans="1:20" ht="15.75" customHeight="1" x14ac:dyDescent="0.35">
      <c r="Q3" s="37"/>
      <c r="R3" s="24"/>
      <c r="S3" s="25"/>
      <c r="T3" s="30"/>
    </row>
    <row r="4" spans="1:20" x14ac:dyDescent="0.35">
      <c r="A4" s="14" t="s">
        <v>20</v>
      </c>
      <c r="C4" s="14" t="s">
        <v>21</v>
      </c>
      <c r="E4" s="15" t="s">
        <v>44</v>
      </c>
      <c r="F4" s="14" t="s">
        <v>45</v>
      </c>
      <c r="I4" s="44" t="s">
        <v>6</v>
      </c>
      <c r="J4" s="44"/>
      <c r="K4" s="44"/>
      <c r="L4" s="44"/>
      <c r="M4" s="44"/>
      <c r="N4" s="44"/>
      <c r="O4" s="44"/>
      <c r="Q4" s="38" t="s">
        <v>50</v>
      </c>
      <c r="R4" s="38" t="s">
        <v>75</v>
      </c>
      <c r="S4" s="40" t="s">
        <v>46</v>
      </c>
      <c r="T4" s="27" t="s">
        <v>47</v>
      </c>
    </row>
    <row r="5" spans="1:20" x14ac:dyDescent="0.35">
      <c r="A5" s="14" t="s">
        <v>19</v>
      </c>
      <c r="B5" s="14" t="s">
        <v>18</v>
      </c>
      <c r="C5" s="14" t="s">
        <v>19</v>
      </c>
      <c r="D5" s="14" t="s">
        <v>18</v>
      </c>
      <c r="I5" s="4" t="s">
        <v>0</v>
      </c>
      <c r="J5" s="4" t="s">
        <v>1</v>
      </c>
      <c r="K5" s="4" t="s">
        <v>1</v>
      </c>
      <c r="L5" s="4" t="s">
        <v>2</v>
      </c>
      <c r="M5" s="4" t="s">
        <v>3</v>
      </c>
      <c r="N5" s="4" t="s">
        <v>4</v>
      </c>
      <c r="O5" s="4" t="s">
        <v>5</v>
      </c>
    </row>
    <row r="6" spans="1:20" ht="38.65" hidden="1" customHeight="1" outlineLevel="1" x14ac:dyDescent="0.35">
      <c r="B6" s="42"/>
      <c r="I6" s="43"/>
      <c r="J6" s="43"/>
      <c r="K6" s="9">
        <v>46022</v>
      </c>
      <c r="L6" s="7">
        <v>46023</v>
      </c>
      <c r="M6" s="9">
        <f>L6+1</f>
        <v>46024</v>
      </c>
      <c r="N6" s="9">
        <f t="shared" ref="N6:O6" si="0">M6+1</f>
        <v>46025</v>
      </c>
      <c r="O6" s="9">
        <f t="shared" si="0"/>
        <v>46026</v>
      </c>
      <c r="Q6" s="39"/>
      <c r="R6" s="41"/>
      <c r="S6" s="21"/>
      <c r="T6" s="32" t="s">
        <v>87</v>
      </c>
    </row>
    <row r="7" spans="1:20" ht="39.75" customHeight="1" collapsed="1" x14ac:dyDescent="0.35">
      <c r="A7" s="14">
        <f>+MONTH(K6)</f>
        <v>12</v>
      </c>
      <c r="B7" s="14">
        <f>+DAY(K6)</f>
        <v>31</v>
      </c>
      <c r="C7" s="14">
        <f>+MONTH(L7)</f>
        <v>1</v>
      </c>
      <c r="D7" s="14">
        <f>+DAY(L7)</f>
        <v>8</v>
      </c>
      <c r="E7" s="15">
        <f>IF(A7=C7,D7-B7+1,DAY(EOMONTH(J7,0))-B7+D7+1)</f>
        <v>9</v>
      </c>
      <c r="F7" s="14">
        <v>52</v>
      </c>
      <c r="I7" s="9">
        <f>O6+1</f>
        <v>46027</v>
      </c>
      <c r="J7" s="9">
        <f>+I7+1</f>
        <v>46028</v>
      </c>
      <c r="K7" s="9">
        <f>+J7+1</f>
        <v>46029</v>
      </c>
      <c r="L7" s="9">
        <f>+K7+1</f>
        <v>46030</v>
      </c>
      <c r="M7" s="8">
        <f>+L7+1</f>
        <v>46031</v>
      </c>
      <c r="N7" s="8">
        <f t="shared" ref="N7:O7" si="1">+M7+1</f>
        <v>46032</v>
      </c>
      <c r="O7" s="8">
        <f t="shared" si="1"/>
        <v>46033</v>
      </c>
      <c r="Q7" s="39">
        <f>DATE($A$1,C7,D7+1)</f>
        <v>46031</v>
      </c>
      <c r="R7" s="41">
        <v>1</v>
      </c>
      <c r="S7" s="21" t="str">
        <f>IF(A7=C7,"Informe "&amp;D7-B7+1&amp;" días ( "&amp;D7-B7&amp;" reales y 1 proyectado); Reales del "&amp;B7&amp;"/"&amp;C7&amp;" al "&amp;D7-1&amp;"/"&amp;A7&amp;" ,Proyectado "&amp;D7&amp;"/"&amp;A7,"Informe "&amp;DAY(EOMONTH(K6,0))-B7+D7+1&amp;" días ( "&amp;DAY(EOMONTH(K6,0))-B7+D7&amp;" reales y 1 proyectado); Reales del "&amp;B7&amp;"/"&amp;A7&amp;" al "&amp;D7-1&amp;"/"&amp;C7&amp;" ,Proyectado "&amp;D7&amp;"/"&amp;C7)</f>
        <v>Informe 9 días ( 8 reales y 1 proyectado); Reales del 31/12 al 7/1 ,Proyectado 8/1</v>
      </c>
      <c r="T7" s="32"/>
    </row>
    <row r="8" spans="1:20" ht="39.75" customHeight="1" x14ac:dyDescent="0.35">
      <c r="A8" s="14">
        <f>+MONTH(M7)</f>
        <v>1</v>
      </c>
      <c r="B8" s="14">
        <f t="shared" ref="B8:B10" si="2">+DAY(M7)</f>
        <v>9</v>
      </c>
      <c r="C8" s="14">
        <f>+MONTH(L8)</f>
        <v>1</v>
      </c>
      <c r="D8" s="14">
        <f>+DAY(L8)</f>
        <v>15</v>
      </c>
      <c r="E8" s="15">
        <f>IF(A8=C8,D8-B8+1,DAY(EOMONTH(J8,0))-B8+D8+1)</f>
        <v>7</v>
      </c>
      <c r="F8" s="14">
        <v>1</v>
      </c>
      <c r="I8" s="8">
        <f>1+O7</f>
        <v>46034</v>
      </c>
      <c r="J8" s="8">
        <f t="shared" ref="J8:L10" si="3">1+I8</f>
        <v>46035</v>
      </c>
      <c r="K8" s="8">
        <f t="shared" si="3"/>
        <v>46036</v>
      </c>
      <c r="L8" s="8">
        <f t="shared" si="3"/>
        <v>46037</v>
      </c>
      <c r="M8" s="9">
        <f t="shared" ref="M8:O10" si="4">1+L8</f>
        <v>46038</v>
      </c>
      <c r="N8" s="9">
        <f t="shared" si="4"/>
        <v>46039</v>
      </c>
      <c r="O8" s="9">
        <f t="shared" si="4"/>
        <v>46040</v>
      </c>
      <c r="Q8" s="39">
        <f>DATE($A$1,C8,D8+1)</f>
        <v>46038</v>
      </c>
      <c r="R8" s="41">
        <f>R7+1</f>
        <v>2</v>
      </c>
      <c r="S8" s="21" t="str">
        <f>IF(A8=C8,"Informe "&amp;D8-B8+1&amp;" días ( "&amp;D8-B8&amp;" reales y 1 proyectado); Reales del "&amp;B8&amp;"/"&amp;C8&amp;" al "&amp;D8-1&amp;"/"&amp;A8&amp;" ,Proyectado "&amp;D8&amp;"/"&amp;A8,"Informe "&amp;DAY(EOMONTH(L7,0))-B8+D8+1&amp;" días ( "&amp;DAY(EOMONTH(L7,0))-B8+D8&amp;" reales y 1 proyectado); Reales del "&amp;B8&amp;"/"&amp;A8&amp;" al "&amp;D8-1&amp;"/"&amp;C8&amp;" ,Proyectado "&amp;D8&amp;"/"&amp;C8)</f>
        <v>Informe 7 días ( 6 reales y 1 proyectado); Reales del 9/1 al 14/1 ,Proyectado 15/1</v>
      </c>
      <c r="T8" s="32"/>
    </row>
    <row r="9" spans="1:20" ht="39.75" customHeight="1" x14ac:dyDescent="0.35">
      <c r="A9" s="14">
        <f>+MONTH(M8)</f>
        <v>1</v>
      </c>
      <c r="B9" s="14">
        <f t="shared" si="2"/>
        <v>16</v>
      </c>
      <c r="C9" s="14">
        <f>+MONTH(L9)</f>
        <v>1</v>
      </c>
      <c r="D9" s="14">
        <f>+DAY(L9)</f>
        <v>22</v>
      </c>
      <c r="E9" s="15">
        <f t="shared" ref="E9:E10" si="5">IF(A9=C9,D9-B9+1,DAY(EOMONTH(J9,0))-B9+D9+1)</f>
        <v>7</v>
      </c>
      <c r="F9" s="14">
        <v>2</v>
      </c>
      <c r="I9" s="9">
        <f>1+O8</f>
        <v>46041</v>
      </c>
      <c r="J9" s="9">
        <f t="shared" si="3"/>
        <v>46042</v>
      </c>
      <c r="K9" s="9">
        <f t="shared" si="3"/>
        <v>46043</v>
      </c>
      <c r="L9" s="9">
        <f t="shared" si="3"/>
        <v>46044</v>
      </c>
      <c r="M9" s="8">
        <f t="shared" si="4"/>
        <v>46045</v>
      </c>
      <c r="N9" s="8">
        <f t="shared" si="4"/>
        <v>46046</v>
      </c>
      <c r="O9" s="8">
        <f t="shared" si="4"/>
        <v>46047</v>
      </c>
      <c r="Q9" s="39">
        <f>DATE($A$1,C9,D9+1)</f>
        <v>46045</v>
      </c>
      <c r="R9" s="41">
        <f>R8+1</f>
        <v>3</v>
      </c>
      <c r="S9" s="21" t="str">
        <f t="shared" ref="S9:S10" si="6">IF(A9=C9,"Informe "&amp;D9-B9+1&amp;" días ( "&amp;D9-B9&amp;" reales y 1 proyectado); Reales del "&amp;B9&amp;"/"&amp;C9&amp;" al "&amp;D9-1&amp;"/"&amp;A9&amp;" ,Proyectado "&amp;D9&amp;"/"&amp;A9,"Informe "&amp;DAY(EOMONTH(L8,0))-B9+D9+1&amp;" días ( "&amp;DAY(EOMONTH(L8,0))-B9+D9&amp;" reales y 1 proyectado); Reales del "&amp;B9&amp;"/"&amp;A9&amp;" al "&amp;D9-1&amp;"/"&amp;C9&amp;" ,Proyectado "&amp;D9&amp;"/"&amp;C9)</f>
        <v>Informe 7 días ( 6 reales y 1 proyectado); Reales del 16/1 al 21/1 ,Proyectado 22/1</v>
      </c>
      <c r="T9" s="32"/>
    </row>
    <row r="10" spans="1:20" ht="39.75" customHeight="1" x14ac:dyDescent="0.35">
      <c r="A10" s="14">
        <f>+MONTH(M9)</f>
        <v>1</v>
      </c>
      <c r="B10" s="14">
        <f t="shared" si="2"/>
        <v>23</v>
      </c>
      <c r="C10" s="14">
        <f>+MONTH(L10)</f>
        <v>1</v>
      </c>
      <c r="D10" s="14">
        <f>+DAY(L10)</f>
        <v>29</v>
      </c>
      <c r="E10" s="15">
        <f t="shared" si="5"/>
        <v>7</v>
      </c>
      <c r="F10" s="14">
        <v>3</v>
      </c>
      <c r="I10" s="8">
        <f>1+O9</f>
        <v>46048</v>
      </c>
      <c r="J10" s="8">
        <f t="shared" si="3"/>
        <v>46049</v>
      </c>
      <c r="K10" s="8">
        <f t="shared" si="3"/>
        <v>46050</v>
      </c>
      <c r="L10" s="8">
        <f t="shared" si="3"/>
        <v>46051</v>
      </c>
      <c r="M10" s="9">
        <f t="shared" si="4"/>
        <v>46052</v>
      </c>
      <c r="N10" s="9">
        <f t="shared" si="4"/>
        <v>46053</v>
      </c>
      <c r="O10" s="18"/>
      <c r="Q10" s="39">
        <f>DATE($A$1,C10,D10+1)</f>
        <v>46052</v>
      </c>
      <c r="R10" s="41">
        <f t="shared" ref="R10" si="7">R9+1</f>
        <v>4</v>
      </c>
      <c r="S10" s="21" t="str">
        <f t="shared" si="6"/>
        <v>Informe 7 días ( 6 reales y 1 proyectado); Reales del 23/1 al 28/1 ,Proyectado 29/1</v>
      </c>
      <c r="T10" s="32"/>
    </row>
    <row r="12" spans="1:20" x14ac:dyDescent="0.35">
      <c r="A12" s="14" t="s">
        <v>20</v>
      </c>
      <c r="C12" s="14" t="s">
        <v>21</v>
      </c>
      <c r="E12" s="15" t="s">
        <v>44</v>
      </c>
      <c r="F12" s="14" t="s">
        <v>45</v>
      </c>
      <c r="I12" s="44" t="s">
        <v>7</v>
      </c>
      <c r="J12" s="44"/>
      <c r="K12" s="44"/>
      <c r="L12" s="44"/>
      <c r="M12" s="44"/>
      <c r="N12" s="44"/>
      <c r="O12" s="44"/>
      <c r="Q12" s="38" t="s">
        <v>50</v>
      </c>
      <c r="R12" s="38" t="s">
        <v>75</v>
      </c>
      <c r="S12" s="40" t="s">
        <v>46</v>
      </c>
      <c r="T12" s="27" t="s">
        <v>47</v>
      </c>
    </row>
    <row r="13" spans="1:20" x14ac:dyDescent="0.35">
      <c r="A13" s="14" t="s">
        <v>19</v>
      </c>
      <c r="B13" s="14" t="s">
        <v>18</v>
      </c>
      <c r="C13" s="14" t="s">
        <v>19</v>
      </c>
      <c r="D13" s="14" t="s">
        <v>18</v>
      </c>
      <c r="I13" s="4" t="s">
        <v>0</v>
      </c>
      <c r="J13" s="4" t="s">
        <v>1</v>
      </c>
      <c r="K13" s="4" t="s">
        <v>1</v>
      </c>
      <c r="L13" s="4" t="s">
        <v>2</v>
      </c>
      <c r="M13" s="4" t="s">
        <v>3</v>
      </c>
      <c r="N13" s="4" t="s">
        <v>4</v>
      </c>
      <c r="O13" s="4" t="s">
        <v>5</v>
      </c>
    </row>
    <row r="14" spans="1:20" ht="39.75" customHeight="1" x14ac:dyDescent="0.35">
      <c r="F14" s="14">
        <v>5</v>
      </c>
      <c r="I14" s="18"/>
      <c r="J14" s="18"/>
      <c r="K14" s="18"/>
      <c r="L14" s="18"/>
      <c r="M14" s="18"/>
      <c r="N14" s="18"/>
      <c r="O14" s="9">
        <f>+N10+1</f>
        <v>46054</v>
      </c>
      <c r="Q14" s="39"/>
      <c r="R14" s="41"/>
      <c r="S14" s="21"/>
      <c r="T14" s="32"/>
    </row>
    <row r="15" spans="1:20" ht="39.75" customHeight="1" x14ac:dyDescent="0.35">
      <c r="A15" s="14">
        <f>+MONTH(M10)</f>
        <v>1</v>
      </c>
      <c r="B15" s="14">
        <f>+DAY(M10)</f>
        <v>30</v>
      </c>
      <c r="C15" s="14">
        <f>+MONTH(L15)</f>
        <v>2</v>
      </c>
      <c r="D15" s="14">
        <f>+DAY(L15)</f>
        <v>5</v>
      </c>
      <c r="E15" s="15">
        <f>IF(A15=C15,D15-B15+1,DAY(EOMONTH(M10,0))-B15+D15+1)</f>
        <v>7</v>
      </c>
      <c r="F15" s="14">
        <f>1+F14</f>
        <v>6</v>
      </c>
      <c r="I15" s="9">
        <f t="shared" ref="I15:I16" si="8">1+O14</f>
        <v>46055</v>
      </c>
      <c r="J15" s="9">
        <f t="shared" ref="J15:O17" si="9">+I15+1</f>
        <v>46056</v>
      </c>
      <c r="K15" s="9">
        <f t="shared" si="9"/>
        <v>46057</v>
      </c>
      <c r="L15" s="9">
        <f t="shared" si="9"/>
        <v>46058</v>
      </c>
      <c r="M15" s="8">
        <f t="shared" si="9"/>
        <v>46059</v>
      </c>
      <c r="N15" s="8">
        <f t="shared" si="9"/>
        <v>46060</v>
      </c>
      <c r="O15" s="8">
        <f t="shared" si="9"/>
        <v>46061</v>
      </c>
      <c r="Q15" s="39">
        <f>DATE($A$1,C15,D15+1)</f>
        <v>46059</v>
      </c>
      <c r="R15" s="41">
        <f>R10+1</f>
        <v>5</v>
      </c>
      <c r="S15" s="21" t="str">
        <f>IF(A15=C15,"Informe "&amp;D15-B15+1&amp;" días ( "&amp;D15-B15&amp;" reales y 1 proyectado); Reales del "&amp;B15&amp;"/"&amp;C15&amp;" al "&amp;D15-1&amp;"/"&amp;A15&amp;" ,Proyectado "&amp;D15&amp;"/"&amp;A15,"Informe "&amp;DAY(EOMONTH(M14,0))-B15+D15+1&amp;" días ( "&amp;DAY(EOMONTH(M14,0))-B15+D15&amp;" reales y 1 proyectado); Reales del "&amp;B15&amp;"/"&amp;A15&amp;" al "&amp;D15-1&amp;"/"&amp;C15&amp;" ,Proyectado "&amp;D15&amp;"/"&amp;C15)</f>
        <v>Informe 7 días ( 6 reales y 1 proyectado); Reales del 30/1 al 4/2 ,Proyectado 5/2</v>
      </c>
      <c r="T15" s="32"/>
    </row>
    <row r="16" spans="1:20" ht="39.75" customHeight="1" x14ac:dyDescent="0.35">
      <c r="A16" s="14">
        <f>+MONTH(M15)</f>
        <v>2</v>
      </c>
      <c r="B16" s="14">
        <f>+DAY(M15)</f>
        <v>6</v>
      </c>
      <c r="C16" s="14">
        <f>+MONTH(L16)</f>
        <v>2</v>
      </c>
      <c r="D16" s="14">
        <f>+DAY(L16)</f>
        <v>12</v>
      </c>
      <c r="E16" s="15">
        <f>IF(A16=C16,D16-B16+1,DAY(EOMONTH(M11,0))-B16+D16+1)</f>
        <v>7</v>
      </c>
      <c r="F16" s="14">
        <f>1+F15</f>
        <v>7</v>
      </c>
      <c r="I16" s="8">
        <f t="shared" si="8"/>
        <v>46062</v>
      </c>
      <c r="J16" s="8">
        <f t="shared" si="9"/>
        <v>46063</v>
      </c>
      <c r="K16" s="8">
        <f t="shared" si="9"/>
        <v>46064</v>
      </c>
      <c r="L16" s="8">
        <f t="shared" si="9"/>
        <v>46065</v>
      </c>
      <c r="M16" s="9">
        <f t="shared" si="9"/>
        <v>46066</v>
      </c>
      <c r="N16" s="9">
        <f t="shared" si="9"/>
        <v>46067</v>
      </c>
      <c r="O16" s="9">
        <f t="shared" si="9"/>
        <v>46068</v>
      </c>
      <c r="Q16" s="39">
        <f>DATE($A$1,C16,D16+1)</f>
        <v>46066</v>
      </c>
      <c r="R16" s="41">
        <f>R15+1</f>
        <v>6</v>
      </c>
      <c r="S16" s="21" t="str">
        <f>IF(A16=C16,"Informe "&amp;D16-B16+1&amp;" días ( "&amp;D16-B16&amp;" reales y 1 proyectado); Reales del "&amp;B16&amp;"/"&amp;C16&amp;" al "&amp;D16-1&amp;"/"&amp;A16&amp;" ,Proyectado "&amp;D16&amp;"/"&amp;A16,"Informe "&amp;DAY(EOMONTH(L15,0))-B16+D16+1&amp;" días ( "&amp;DAY(EOMONTH(L15,0))-B16+D16&amp;" reales y 1 proyectado); Reales del "&amp;B16&amp;"/"&amp;A16&amp;" al "&amp;D16-1&amp;"/"&amp;C16&amp;" ,Proyectado "&amp;D16&amp;"/"&amp;C16&amp;")")</f>
        <v>Informe 7 días ( 6 reales y 1 proyectado); Reales del 6/2 al 11/2 ,Proyectado 12/2</v>
      </c>
      <c r="T16" s="32"/>
    </row>
    <row r="17" spans="1:20" ht="39.75" customHeight="1" x14ac:dyDescent="0.35">
      <c r="A17" s="14">
        <f>+MONTH(M16)</f>
        <v>2</v>
      </c>
      <c r="B17" s="14">
        <f>+DAY(M16)</f>
        <v>13</v>
      </c>
      <c r="C17" s="14">
        <f>+MONTH(L17)</f>
        <v>2</v>
      </c>
      <c r="D17" s="14">
        <f>+DAY(L17)</f>
        <v>19</v>
      </c>
      <c r="E17" s="15">
        <f>IF(A17=C17,D17-B17+1,DAY(EOMONTH(M12,0))-B17+D17+1)</f>
        <v>7</v>
      </c>
      <c r="F17" s="14">
        <f>1+F16</f>
        <v>8</v>
      </c>
      <c r="I17" s="9">
        <f>1+O16</f>
        <v>46069</v>
      </c>
      <c r="J17" s="9">
        <f t="shared" si="9"/>
        <v>46070</v>
      </c>
      <c r="K17" s="9">
        <f t="shared" si="9"/>
        <v>46071</v>
      </c>
      <c r="L17" s="9">
        <f t="shared" si="9"/>
        <v>46072</v>
      </c>
      <c r="M17" s="8">
        <f t="shared" si="9"/>
        <v>46073</v>
      </c>
      <c r="N17" s="8">
        <f t="shared" si="9"/>
        <v>46074</v>
      </c>
      <c r="O17" s="8">
        <f t="shared" si="9"/>
        <v>46075</v>
      </c>
      <c r="Q17" s="39">
        <f>DATE($A$1,C17,D17+1)</f>
        <v>46073</v>
      </c>
      <c r="R17" s="41">
        <f>R16+1</f>
        <v>7</v>
      </c>
      <c r="S17" s="21" t="str">
        <f>IF(A17=C17,"Informe "&amp;D17-B17+1&amp;" días ( "&amp;D17-B17&amp;" reales y 1 proyectado); Reales del "&amp;B17&amp;"/"&amp;C17&amp;" al "&amp;D17-1&amp;"/"&amp;A17&amp;" ,Proyectado "&amp;D17&amp;"/"&amp;A17,"Informe "&amp;DAY(EOMONTH(L16,0))-B17+D17+1&amp;" días ( "&amp;DAY(EOMONTH(L16,0))-B17+D17&amp;" reales y 1 proyectado); Reales del "&amp;B17&amp;"/"&amp;A17&amp;" al "&amp;D17-1&amp;"/"&amp;C17&amp;" ,Proyectado "&amp;D17&amp;"/"&amp;C17&amp;")")</f>
        <v>Informe 7 días ( 6 reales y 1 proyectado); Reales del 13/2 al 18/2 ,Proyectado 19/2</v>
      </c>
      <c r="T17" s="32"/>
    </row>
    <row r="18" spans="1:20" ht="39.75" customHeight="1" x14ac:dyDescent="0.35">
      <c r="A18" s="14">
        <f>+MONTH(M17)</f>
        <v>2</v>
      </c>
      <c r="B18" s="14">
        <f>+DAY(M17)</f>
        <v>20</v>
      </c>
      <c r="C18" s="14">
        <f>+MONTH(L18)</f>
        <v>2</v>
      </c>
      <c r="D18" s="14">
        <f>+DAY(L18)</f>
        <v>26</v>
      </c>
      <c r="E18" s="15">
        <f>IF(A18=C18,D18-B18+1,DAY(EOMONTH(M13,0))-B18+D18+1)</f>
        <v>7</v>
      </c>
      <c r="F18" s="14">
        <v>9</v>
      </c>
      <c r="I18" s="8">
        <f>+O17+1</f>
        <v>46076</v>
      </c>
      <c r="J18" s="8">
        <f>+I18+1</f>
        <v>46077</v>
      </c>
      <c r="K18" s="8">
        <f>+J18+1</f>
        <v>46078</v>
      </c>
      <c r="L18" s="8">
        <f>+K18+1</f>
        <v>46079</v>
      </c>
      <c r="M18" s="9">
        <f>+L18+1</f>
        <v>46080</v>
      </c>
      <c r="N18" s="9">
        <f>+M18+1</f>
        <v>46081</v>
      </c>
      <c r="O18" s="18"/>
      <c r="Q18" s="39">
        <f>DATE($A$1,C18,D18+1)</f>
        <v>46080</v>
      </c>
      <c r="R18" s="41">
        <f>R17+1</f>
        <v>8</v>
      </c>
      <c r="S18" s="21" t="str">
        <f>IF(A18=C18,"Informe "&amp;D18-B18+1&amp;" días ( "&amp;D18-B18&amp;" reales y 1 proyectado); Reales del "&amp;B18&amp;"/"&amp;C18&amp;" al "&amp;D18-1&amp;"/"&amp;A18&amp;" ,Proyectado "&amp;D18&amp;"/"&amp;A18,"Informe "&amp;DAY(EOMONTH(L17,0))-B18+D18+1&amp;" días ( "&amp;DAY(EOMONTH(L17,0))-B18+D18&amp;" reales y 1 proyectado); Reales del "&amp;B18&amp;"/"&amp;A18&amp;" al "&amp;D18-1&amp;"/"&amp;C18&amp;" ,Proyectado "&amp;D18&amp;"/"&amp;C18&amp;")")</f>
        <v>Informe 7 días ( 6 reales y 1 proyectado); Reales del 20/2 al 25/2 ,Proyectado 26/2</v>
      </c>
      <c r="T18" s="32"/>
    </row>
    <row r="19" spans="1:20" x14ac:dyDescent="0.35">
      <c r="I19" s="5"/>
      <c r="J19" s="5"/>
      <c r="K19" s="5"/>
      <c r="L19" s="5"/>
      <c r="M19" s="5"/>
      <c r="N19" s="5"/>
      <c r="O19" s="5"/>
      <c r="P19" s="5"/>
    </row>
    <row r="20" spans="1:20" x14ac:dyDescent="0.35">
      <c r="A20" s="14" t="s">
        <v>20</v>
      </c>
      <c r="C20" s="14" t="s">
        <v>21</v>
      </c>
      <c r="E20" s="15" t="s">
        <v>44</v>
      </c>
      <c r="F20" s="14" t="s">
        <v>45</v>
      </c>
      <c r="I20" s="44" t="s">
        <v>8</v>
      </c>
      <c r="J20" s="44"/>
      <c r="K20" s="44"/>
      <c r="L20" s="44"/>
      <c r="M20" s="44"/>
      <c r="N20" s="44"/>
      <c r="O20" s="44"/>
      <c r="P20" s="5"/>
      <c r="Q20" s="38" t="s">
        <v>50</v>
      </c>
      <c r="R20" s="38" t="s">
        <v>75</v>
      </c>
      <c r="S20" s="27" t="s">
        <v>46</v>
      </c>
      <c r="T20" s="27" t="s">
        <v>47</v>
      </c>
    </row>
    <row r="21" spans="1:20" x14ac:dyDescent="0.35">
      <c r="A21" s="14" t="s">
        <v>19</v>
      </c>
      <c r="B21" s="14" t="s">
        <v>18</v>
      </c>
      <c r="C21" s="14" t="s">
        <v>19</v>
      </c>
      <c r="D21" s="14" t="s">
        <v>18</v>
      </c>
      <c r="I21" s="4" t="s">
        <v>0</v>
      </c>
      <c r="J21" s="4" t="s">
        <v>1</v>
      </c>
      <c r="K21" s="4" t="s">
        <v>1</v>
      </c>
      <c r="L21" s="4" t="s">
        <v>2</v>
      </c>
      <c r="M21" s="4" t="s">
        <v>3</v>
      </c>
      <c r="N21" s="4" t="s">
        <v>4</v>
      </c>
      <c r="O21" s="4" t="s">
        <v>5</v>
      </c>
    </row>
    <row r="22" spans="1:20" ht="39.75" customHeight="1" x14ac:dyDescent="0.35">
      <c r="F22" s="14">
        <f>F17+1</f>
        <v>9</v>
      </c>
      <c r="I22" s="18"/>
      <c r="J22" s="18"/>
      <c r="K22" s="18">
        <f>+J18+1</f>
        <v>46078</v>
      </c>
      <c r="L22" s="18"/>
      <c r="M22" s="18"/>
      <c r="N22" s="18"/>
      <c r="O22" s="9">
        <f>+N18+1</f>
        <v>46082</v>
      </c>
      <c r="Q22" s="39"/>
      <c r="R22" s="41"/>
      <c r="S22" s="21"/>
      <c r="T22" s="21"/>
    </row>
    <row r="23" spans="1:20" ht="39.75" customHeight="1" x14ac:dyDescent="0.35">
      <c r="A23" s="14">
        <f>+MONTH(M18)</f>
        <v>2</v>
      </c>
      <c r="B23" s="14">
        <f>+DAY(M18)</f>
        <v>27</v>
      </c>
      <c r="C23" s="14">
        <f>+MONTH(L23)</f>
        <v>3</v>
      </c>
      <c r="D23" s="14">
        <f>+DAY(L23)</f>
        <v>5</v>
      </c>
      <c r="E23" s="15">
        <f>IF(A23=C23,D23-B23+1,DAY(EOMONTH(J23,0))-B23+D23+1)</f>
        <v>10</v>
      </c>
      <c r="F23" s="14">
        <f>1+F22</f>
        <v>10</v>
      </c>
      <c r="I23" s="9">
        <f>1+O22</f>
        <v>46083</v>
      </c>
      <c r="J23" s="9">
        <f t="shared" ref="J23:O26" si="10">+I23+1</f>
        <v>46084</v>
      </c>
      <c r="K23" s="9">
        <f t="shared" si="10"/>
        <v>46085</v>
      </c>
      <c r="L23" s="9">
        <f t="shared" si="10"/>
        <v>46086</v>
      </c>
      <c r="M23" s="8">
        <f t="shared" si="10"/>
        <v>46087</v>
      </c>
      <c r="N23" s="8">
        <f t="shared" si="10"/>
        <v>46088</v>
      </c>
      <c r="O23" s="8">
        <f t="shared" si="10"/>
        <v>46089</v>
      </c>
      <c r="P23" s="3"/>
      <c r="Q23" s="39">
        <f>DATE($A$1,C23,D23+1)</f>
        <v>46087</v>
      </c>
      <c r="R23" s="41">
        <f>R18+1</f>
        <v>9</v>
      </c>
      <c r="S23" s="21" t="str">
        <f>IF(A23=C23,"Informe "&amp;D23-B23+1&amp;" días ( "&amp;D23-B23&amp;" reales y 1 proyectado); Reales del "&amp;B23&amp;"/"&amp;C23&amp;" al "&amp;D23-1&amp;"/"&amp;A23&amp;" ,Proyectado "&amp;D23&amp;"/"&amp;A23,"Informe "&amp;DAY(EOMONTH(L18,0))-B23+D23+1&amp;" días ( "&amp;DAY(EOMONTH(L18,0))-B23+D23&amp;" reales y 1 proyectado); Reales del "&amp;B23&amp;"/"&amp;A23&amp;" al "&amp;D23-1&amp;"/"&amp;C23&amp;" ,Proyectado "&amp;D23&amp;"/"&amp;C23&amp;")")</f>
        <v>Informe 7 días ( 6 reales y 1 proyectado); Reales del 27/2 al 4/3 ,Proyectado 5/3)</v>
      </c>
      <c r="T23" s="21"/>
    </row>
    <row r="24" spans="1:20" ht="39.75" customHeight="1" x14ac:dyDescent="0.35">
      <c r="A24" s="14">
        <f>+MONTH(M23)</f>
        <v>3</v>
      </c>
      <c r="B24" s="14">
        <f>+DAY(M23)</f>
        <v>6</v>
      </c>
      <c r="C24" s="14">
        <f>+MONTH(L24)</f>
        <v>3</v>
      </c>
      <c r="D24" s="14">
        <f>+DAY(L24)</f>
        <v>12</v>
      </c>
      <c r="E24" s="15">
        <f t="shared" ref="E24" si="11">IF(A24=C24,D24-B24+1,DAY(EOMONTH(J24,0))-B24+D24+1)</f>
        <v>7</v>
      </c>
      <c r="F24" s="14">
        <f>1+F23</f>
        <v>11</v>
      </c>
      <c r="I24" s="8">
        <f>1+O23</f>
        <v>46090</v>
      </c>
      <c r="J24" s="8">
        <f t="shared" si="10"/>
        <v>46091</v>
      </c>
      <c r="K24" s="8">
        <f t="shared" si="10"/>
        <v>46092</v>
      </c>
      <c r="L24" s="8">
        <f t="shared" si="10"/>
        <v>46093</v>
      </c>
      <c r="M24" s="9">
        <f t="shared" si="10"/>
        <v>46094</v>
      </c>
      <c r="N24" s="9">
        <f t="shared" si="10"/>
        <v>46095</v>
      </c>
      <c r="O24" s="9">
        <f t="shared" si="10"/>
        <v>46096</v>
      </c>
      <c r="Q24" s="39">
        <f t="shared" ref="Q24:Q26" si="12">DATE($A$1,C24,D24+1)</f>
        <v>46094</v>
      </c>
      <c r="R24" s="41">
        <f>R23+1</f>
        <v>10</v>
      </c>
      <c r="S24" s="21" t="str">
        <f t="shared" ref="S24" si="13">IF(A24=C24,"Informe "&amp;D24-B24+1&amp;" días ( "&amp;D24-B24&amp;" reales y 1 proyectado); Reales del "&amp;B24&amp;"/"&amp;C24&amp;" al "&amp;D24-1&amp;"/"&amp;A24&amp;" ,Proyectado "&amp;D24&amp;"/"&amp;A24,"Informe "&amp;DAY(EOMONTH(L23,0))-B24+D24+1&amp;" días ( "&amp;DAY(EOMONTH(L23,0))-B24+D24&amp;" reales y 1 proyectado); Reales del "&amp;B24&amp;"/"&amp;A24&amp;" al "&amp;D24-1&amp;"/"&amp;C24&amp;" ,Proyectado "&amp;D24&amp;"/"&amp;C24&amp;")")</f>
        <v>Informe 7 días ( 6 reales y 1 proyectado); Reales del 6/3 al 11/3 ,Proyectado 12/3</v>
      </c>
      <c r="T24" s="32"/>
    </row>
    <row r="25" spans="1:20" ht="39.75" customHeight="1" x14ac:dyDescent="0.35">
      <c r="A25" s="14">
        <f>+MONTH(M24)</f>
        <v>3</v>
      </c>
      <c r="B25" s="14">
        <f>+DAY(M24)</f>
        <v>13</v>
      </c>
      <c r="C25" s="14">
        <f>+MONTH(L25)</f>
        <v>3</v>
      </c>
      <c r="D25" s="14">
        <f t="shared" ref="D25:D26" si="14">+DAY(L25)</f>
        <v>19</v>
      </c>
      <c r="E25" s="15">
        <f>IF(A25=C25,D25-B25+1,DAY(EOMONTH(J24,0))-B25+D25+1)</f>
        <v>7</v>
      </c>
      <c r="F25" s="14">
        <f>1+F24</f>
        <v>12</v>
      </c>
      <c r="I25" s="9">
        <f>1+O24</f>
        <v>46097</v>
      </c>
      <c r="J25" s="9">
        <f t="shared" si="10"/>
        <v>46098</v>
      </c>
      <c r="K25" s="9">
        <f t="shared" si="10"/>
        <v>46099</v>
      </c>
      <c r="L25" s="9">
        <f t="shared" si="10"/>
        <v>46100</v>
      </c>
      <c r="M25" s="8">
        <f t="shared" si="10"/>
        <v>46101</v>
      </c>
      <c r="N25" s="8">
        <f t="shared" si="10"/>
        <v>46102</v>
      </c>
      <c r="O25" s="8">
        <f t="shared" si="10"/>
        <v>46103</v>
      </c>
      <c r="Q25" s="39">
        <f t="shared" si="12"/>
        <v>46101</v>
      </c>
      <c r="R25" s="41">
        <f t="shared" ref="R25" si="15">R24+1</f>
        <v>11</v>
      </c>
      <c r="S25" s="21" t="str">
        <f>IF(A25=C25,"Informe "&amp;D25-B25+1&amp;" días ( "&amp;D25-B25&amp;" reales y 1 proyectado); Reales del "&amp;B25&amp;"/"&amp;C25&amp;" al "&amp;D25-1&amp;"/"&amp;A25&amp;" ,Proyectado "&amp;D25&amp;"/"&amp;A25,"Informe "&amp;DAY(EOMONTH(L24,0))-B25+D25+1&amp;" días ( "&amp;DAY(EOMONTH(L24,0))-B25+D25&amp;" reales y 1 proyectado); Reales del "&amp;B25&amp;"/"&amp;A25&amp;" al "&amp;D25-1&amp;"/"&amp;C25&amp;" ,Proyectado "&amp;D25&amp;"/"&amp;C25&amp;")")</f>
        <v>Informe 7 días ( 6 reales y 1 proyectado); Reales del 13/3 al 18/3 ,Proyectado 19/3</v>
      </c>
      <c r="T25" s="32"/>
    </row>
    <row r="26" spans="1:20" ht="39.75" customHeight="1" x14ac:dyDescent="0.35">
      <c r="A26" s="14">
        <f>+MONTH(M25)</f>
        <v>3</v>
      </c>
      <c r="B26" s="14">
        <f>+DAY(M25)</f>
        <v>20</v>
      </c>
      <c r="C26" s="14">
        <f>+MONTH(L26)</f>
        <v>3</v>
      </c>
      <c r="D26" s="14">
        <f t="shared" si="14"/>
        <v>26</v>
      </c>
      <c r="E26" s="15">
        <f>IF(A26=C26,D26-B26+1,DAY(EOMONTH(J25,0))-B26+D26+1)</f>
        <v>7</v>
      </c>
      <c r="F26" s="14">
        <f>1+F25</f>
        <v>13</v>
      </c>
      <c r="I26" s="8">
        <f>1+O25</f>
        <v>46104</v>
      </c>
      <c r="J26" s="8">
        <f>+I26+1</f>
        <v>46105</v>
      </c>
      <c r="K26" s="8">
        <f>+J26+1</f>
        <v>46106</v>
      </c>
      <c r="L26" s="8">
        <f>+K26+1</f>
        <v>46107</v>
      </c>
      <c r="M26" s="9">
        <f>+L26+1</f>
        <v>46108</v>
      </c>
      <c r="N26" s="9">
        <f t="shared" si="10"/>
        <v>46109</v>
      </c>
      <c r="O26" s="9">
        <f t="shared" si="10"/>
        <v>46110</v>
      </c>
      <c r="Q26" s="39">
        <f t="shared" si="12"/>
        <v>46108</v>
      </c>
      <c r="R26" s="41">
        <f>R25+1</f>
        <v>12</v>
      </c>
      <c r="S26" s="21" t="str">
        <f>IF(A26=C26,"Informe "&amp;D26-B26+1&amp;" días ( "&amp;D26-B26&amp;" reales y 1 proyectado); Reales del "&amp;B26&amp;"/"&amp;C26&amp;" al "&amp;D26-1&amp;"/"&amp;A26&amp;" ,Proyectado "&amp;D26&amp;"/"&amp;A26,"Informe "&amp;DAY(EOMONTH(L25,0))-B26+D26+1&amp;" días ( "&amp;DAY(EOMONTH(L25,0))-B26+D26&amp;" reales y 1 proyectado); Reales del "&amp;B26&amp;"/"&amp;A26&amp;" al "&amp;D26-1&amp;"/"&amp;C26&amp;" ,Proyectado "&amp;D26&amp;"/"&amp;C26&amp;")")</f>
        <v>Informe 7 días ( 6 reales y 1 proyectado); Reales del 20/3 al 25/3 ,Proyectado 26/3</v>
      </c>
      <c r="T26" s="32"/>
    </row>
    <row r="27" spans="1:20" ht="39.75" customHeight="1" x14ac:dyDescent="0.35">
      <c r="I27" s="9">
        <f>+O26+1</f>
        <v>46111</v>
      </c>
      <c r="J27" s="9">
        <f>+I27+1</f>
        <v>46112</v>
      </c>
      <c r="K27" s="18"/>
      <c r="L27" s="18"/>
      <c r="M27" s="18"/>
      <c r="N27" s="18"/>
      <c r="O27" s="18"/>
      <c r="Q27" s="39"/>
      <c r="R27" s="41"/>
      <c r="S27" s="21"/>
      <c r="T27" s="32"/>
    </row>
    <row r="29" spans="1:20" x14ac:dyDescent="0.35">
      <c r="A29" s="14" t="s">
        <v>20</v>
      </c>
      <c r="C29" s="14" t="s">
        <v>21</v>
      </c>
      <c r="E29" s="15" t="s">
        <v>44</v>
      </c>
      <c r="F29" s="14" t="s">
        <v>45</v>
      </c>
      <c r="I29" s="44" t="s">
        <v>10</v>
      </c>
      <c r="J29" s="44"/>
      <c r="K29" s="44"/>
      <c r="L29" s="44"/>
      <c r="M29" s="44"/>
      <c r="N29" s="44"/>
      <c r="O29" s="44"/>
      <c r="P29" s="5"/>
      <c r="Q29" s="38" t="s">
        <v>50</v>
      </c>
      <c r="R29" s="38" t="s">
        <v>75</v>
      </c>
      <c r="S29" s="27" t="s">
        <v>46</v>
      </c>
      <c r="T29" s="27" t="s">
        <v>47</v>
      </c>
    </row>
    <row r="30" spans="1:20" x14ac:dyDescent="0.35">
      <c r="A30" s="14" t="s">
        <v>19</v>
      </c>
      <c r="B30" s="14" t="s">
        <v>18</v>
      </c>
      <c r="C30" s="14" t="s">
        <v>19</v>
      </c>
      <c r="D30" s="14" t="s">
        <v>18</v>
      </c>
      <c r="I30" s="4" t="s">
        <v>0</v>
      </c>
      <c r="J30" s="4" t="s">
        <v>1</v>
      </c>
      <c r="K30" s="4" t="s">
        <v>1</v>
      </c>
      <c r="L30" s="4" t="s">
        <v>2</v>
      </c>
      <c r="M30" s="4" t="s">
        <v>3</v>
      </c>
      <c r="N30" s="4" t="s">
        <v>4</v>
      </c>
      <c r="O30" s="4" t="s">
        <v>5</v>
      </c>
    </row>
    <row r="31" spans="1:20" ht="39.75" customHeight="1" x14ac:dyDescent="0.35">
      <c r="A31" s="14">
        <f>+MONTH(M26)</f>
        <v>3</v>
      </c>
      <c r="B31" s="14">
        <f>+DAY(M26)</f>
        <v>27</v>
      </c>
      <c r="C31" s="14">
        <f>+MONTH(L31)</f>
        <v>4</v>
      </c>
      <c r="D31" s="14">
        <f>+DAY(K31)</f>
        <v>1</v>
      </c>
      <c r="E31" s="15">
        <f>IF(A31=C31,D31-B31+1,DAY(EOMONTH(L26,0))-B31+D31+1)</f>
        <v>6</v>
      </c>
      <c r="F31" s="14">
        <v>13</v>
      </c>
      <c r="I31" s="18"/>
      <c r="J31" s="18"/>
      <c r="K31" s="9">
        <f>+J27+1</f>
        <v>46113</v>
      </c>
      <c r="L31" s="8">
        <f t="shared" ref="L31:O31" si="16">+K31+1</f>
        <v>46114</v>
      </c>
      <c r="M31" s="7">
        <f t="shared" si="16"/>
        <v>46115</v>
      </c>
      <c r="N31" s="7">
        <f t="shared" si="16"/>
        <v>46116</v>
      </c>
      <c r="O31" s="8">
        <f t="shared" si="16"/>
        <v>46117</v>
      </c>
      <c r="P31" s="3"/>
      <c r="Q31" s="39">
        <f>DATE($A$1,C31,D31+1)</f>
        <v>46114</v>
      </c>
      <c r="R31" s="41">
        <f>R26+1</f>
        <v>13</v>
      </c>
      <c r="S31" s="21" t="str">
        <f>IF(A31=C31,"Informe "&amp;D31-B31+1&amp;" días ( "&amp;D31-B31&amp;" reales y 1 proyectado); Reales del "&amp;B31&amp;"/"&amp;C31&amp;" al "&amp;D31-1&amp;"/"&amp;A31&amp;" ,Proyectado "&amp;D31&amp;"/"&amp;A31,"Informe "&amp;DAY(EOMONTH(M26,0))-B31+D31+1&amp;" días ( "&amp;DAY(EOMONTH(M26,0))-B31+D31&amp;" reales y 1 proyectado); Reales del "&amp;B31&amp;"/"&amp;A31&amp;" al 31/"&amp;C31&amp;" ,Proyectado "&amp;D31&amp;"/"&amp;C31&amp;")")</f>
        <v>Informe 6 días ( 5 reales y 1 proyectado); Reales del 27/3 al 31/4 ,Proyectado 1/4)</v>
      </c>
      <c r="T31" s="32" t="s">
        <v>86</v>
      </c>
    </row>
    <row r="32" spans="1:20" ht="39.75" customHeight="1" x14ac:dyDescent="0.35">
      <c r="A32" s="14">
        <f>+MONTH(L31)</f>
        <v>4</v>
      </c>
      <c r="B32" s="14">
        <f>+DAY(L31)</f>
        <v>2</v>
      </c>
      <c r="C32" s="14">
        <f>+MONTH(L32)</f>
        <v>4</v>
      </c>
      <c r="D32" s="14">
        <f>+DAY(L32)</f>
        <v>9</v>
      </c>
      <c r="E32" s="15">
        <f>IF(A32=C32,D32-B32+1,DAY(EOMONTH(J32,0))-B32+D32+1)</f>
        <v>8</v>
      </c>
      <c r="F32" s="14">
        <f>1+F31</f>
        <v>14</v>
      </c>
      <c r="I32" s="8">
        <f t="shared" ref="I32:I35" si="17">1+O31</f>
        <v>46118</v>
      </c>
      <c r="J32" s="8">
        <f t="shared" ref="J32:O35" si="18">+I32+1</f>
        <v>46119</v>
      </c>
      <c r="K32" s="8">
        <f t="shared" si="18"/>
        <v>46120</v>
      </c>
      <c r="L32" s="8">
        <f t="shared" si="18"/>
        <v>46121</v>
      </c>
      <c r="M32" s="9">
        <f t="shared" si="18"/>
        <v>46122</v>
      </c>
      <c r="N32" s="9">
        <f t="shared" si="18"/>
        <v>46123</v>
      </c>
      <c r="O32" s="9">
        <f t="shared" si="18"/>
        <v>46124</v>
      </c>
      <c r="Q32" s="39">
        <f t="shared" ref="Q32:Q34" si="19">DATE($A$1,C32,D32+1)</f>
        <v>46122</v>
      </c>
      <c r="R32" s="41">
        <f>+R31+1</f>
        <v>14</v>
      </c>
      <c r="S32" s="21" t="str">
        <f>IF(A32=C32,"Informe "&amp;D32-B32+1&amp;" días ( "&amp;D32-B32&amp;" reales y 1 proyectado); Reales del "&amp;B32&amp;"/"&amp;C32&amp;" al "&amp;D32-1&amp;"/"&amp;A32&amp;" ,Proyectado "&amp;D32&amp;"/"&amp;A32,"Informe "&amp;DAY(EOMONTH(L31,0))-B32+D32+1&amp;" días ( "&amp;DAY(EOMONTH(L31,0))-B32+D32&amp;" reales y 1 proyectado); Reales del "&amp;B32&amp;"/"&amp;A32&amp;" al "&amp;D32-1&amp;"/"&amp;C32&amp;" ,Proyectado "&amp;D32&amp;"/"&amp;C32&amp;")")</f>
        <v>Informe 8 días ( 7 reales y 1 proyectado); Reales del 2/4 al 8/4 ,Proyectado 9/4</v>
      </c>
      <c r="T32" s="32"/>
    </row>
    <row r="33" spans="1:20" ht="39.75" customHeight="1" x14ac:dyDescent="0.35">
      <c r="A33" s="14">
        <f>+MONTH(M32)</f>
        <v>4</v>
      </c>
      <c r="B33" s="14">
        <f t="shared" ref="B33" si="20">+DAY(M32)</f>
        <v>10</v>
      </c>
      <c r="C33" s="14">
        <f t="shared" ref="C33:C34" si="21">+MONTH(L33)</f>
        <v>4</v>
      </c>
      <c r="D33" s="14">
        <f>+DAY(L33)</f>
        <v>16</v>
      </c>
      <c r="E33" s="15">
        <f t="shared" ref="E33:E34" si="22">IF(A33=C33,D33-B33+1,DAY(EOMONTH(J33,0))-B33+D33+1)</f>
        <v>7</v>
      </c>
      <c r="F33" s="14">
        <f t="shared" ref="F33:F35" si="23">1+F32</f>
        <v>15</v>
      </c>
      <c r="I33" s="9">
        <f t="shared" si="17"/>
        <v>46125</v>
      </c>
      <c r="J33" s="9">
        <f t="shared" si="18"/>
        <v>46126</v>
      </c>
      <c r="K33" s="9">
        <f t="shared" si="18"/>
        <v>46127</v>
      </c>
      <c r="L33" s="9">
        <f>+K33+1</f>
        <v>46128</v>
      </c>
      <c r="M33" s="8">
        <f t="shared" si="18"/>
        <v>46129</v>
      </c>
      <c r="N33" s="8">
        <f t="shared" si="18"/>
        <v>46130</v>
      </c>
      <c r="O33" s="8">
        <f t="shared" si="18"/>
        <v>46131</v>
      </c>
      <c r="Q33" s="39">
        <f>DATE($A$1,C33,D33+1)</f>
        <v>46129</v>
      </c>
      <c r="R33" s="41">
        <f>R32+1</f>
        <v>15</v>
      </c>
      <c r="S33" s="21" t="str">
        <f>IF(A33=C33,"Informe "&amp;D33-B33+1&amp;" días ( "&amp;D33-B33&amp;" reales y 1 proyectado); Reales del "&amp;B33&amp;"/"&amp;C33&amp;" al "&amp;D33-1&amp;"/"&amp;A33&amp;" ,Proyectado "&amp;D33&amp;"/"&amp;A33,"Informe "&amp;DAY(EOMONTH(L32,0))-B33+D33+1&amp;" días ( "&amp;DAY(EOMONTH(L32,0))-B33+D33&amp;" reales y 1 proyectado); Reales del "&amp;B33&amp;"/"&amp;A33&amp;" al "&amp;D33-1&amp;"/"&amp;C33&amp;" ,Proyectado "&amp;D33&amp;"/"&amp;C33&amp;")")</f>
        <v>Informe 7 días ( 6 reales y 1 proyectado); Reales del 10/4 al 15/4 ,Proyectado 16/4</v>
      </c>
      <c r="T33" s="32"/>
    </row>
    <row r="34" spans="1:20" ht="39.75" customHeight="1" x14ac:dyDescent="0.35">
      <c r="A34" s="14">
        <f>+MONTH(M33)</f>
        <v>4</v>
      </c>
      <c r="B34" s="14">
        <f>+DAY(M33)</f>
        <v>17</v>
      </c>
      <c r="C34" s="14">
        <f t="shared" si="21"/>
        <v>4</v>
      </c>
      <c r="D34" s="14">
        <f t="shared" ref="D34" si="24">+DAY(L34)</f>
        <v>23</v>
      </c>
      <c r="E34" s="15">
        <f t="shared" si="22"/>
        <v>7</v>
      </c>
      <c r="F34" s="14">
        <f t="shared" si="23"/>
        <v>16</v>
      </c>
      <c r="I34" s="8">
        <f t="shared" si="17"/>
        <v>46132</v>
      </c>
      <c r="J34" s="8">
        <f t="shared" si="18"/>
        <v>46133</v>
      </c>
      <c r="K34" s="8">
        <f t="shared" si="18"/>
        <v>46134</v>
      </c>
      <c r="L34" s="8">
        <f t="shared" si="18"/>
        <v>46135</v>
      </c>
      <c r="M34" s="9">
        <f t="shared" si="18"/>
        <v>46136</v>
      </c>
      <c r="N34" s="9">
        <f t="shared" si="18"/>
        <v>46137</v>
      </c>
      <c r="O34" s="9">
        <f t="shared" si="18"/>
        <v>46138</v>
      </c>
      <c r="Q34" s="39">
        <f t="shared" si="19"/>
        <v>46136</v>
      </c>
      <c r="R34" s="41">
        <f t="shared" ref="R34:R35" si="25">R33+1</f>
        <v>16</v>
      </c>
      <c r="S34" s="21" t="str">
        <f>IF(A34=C34,"Informe "&amp;D34-B34+1&amp;" días ( "&amp;D34-B34&amp;" reales y 1 proyectado); Reales del "&amp;B34&amp;"/"&amp;C34&amp;" al "&amp;D34-1&amp;"/"&amp;A34&amp;" ,Proyectado "&amp;D34&amp;"/"&amp;A34,"Informe "&amp;DAY(EOMONTH(L33,0))-B34+D34+1&amp;" días ( "&amp;DAY(EOMONTH(L33,0))-B34+D34&amp;" reales y 1 proyectado); Reales del "&amp;B34&amp;"/"&amp;A34&amp;" al "&amp;D34-1&amp;"/"&amp;C34&amp;" ,Proyectado "&amp;D34&amp;"/"&amp;C34&amp;")")</f>
        <v>Informe 7 días ( 6 reales y 1 proyectado); Reales del 17/4 al 22/4 ,Proyectado 23/4</v>
      </c>
      <c r="T34" s="32"/>
    </row>
    <row r="35" spans="1:20" ht="39.75" customHeight="1" x14ac:dyDescent="0.35">
      <c r="A35" s="14">
        <f>+MONTH(M34)</f>
        <v>4</v>
      </c>
      <c r="B35" s="14">
        <f>+DAY(M34)</f>
        <v>24</v>
      </c>
      <c r="C35" s="14">
        <f>+MONTH(K35)</f>
        <v>4</v>
      </c>
      <c r="D35" s="14">
        <f>+DAY(K35)</f>
        <v>29</v>
      </c>
      <c r="F35" s="14">
        <f t="shared" si="23"/>
        <v>17</v>
      </c>
      <c r="I35" s="9">
        <f t="shared" si="17"/>
        <v>46139</v>
      </c>
      <c r="J35" s="9">
        <f t="shared" si="18"/>
        <v>46140</v>
      </c>
      <c r="K35" s="9">
        <f t="shared" ref="K35:L35" si="26">+J35+1</f>
        <v>46141</v>
      </c>
      <c r="L35" s="8">
        <f t="shared" si="26"/>
        <v>46142</v>
      </c>
      <c r="M35" s="18"/>
      <c r="N35" s="18"/>
      <c r="O35" s="18"/>
      <c r="Q35" s="39">
        <f t="shared" ref="Q35" si="27">DATE($A$1,C35,D35+1)</f>
        <v>46142</v>
      </c>
      <c r="R35" s="41">
        <f t="shared" si="25"/>
        <v>17</v>
      </c>
      <c r="S35" s="21" t="str">
        <f>IF(A35=C35,"Informe "&amp;D35-B35+1&amp;" días ( "&amp;D35-B35&amp;" reales y 1 proyectado); Reales del "&amp;B35&amp;"/"&amp;C35&amp;" al "&amp;D35-1&amp;"/"&amp;A35&amp;" ,Proyectado "&amp;D35&amp;"/"&amp;A35,"Informe "&amp;DAY(EOMONTH(L34,0))-B35+D35+1&amp;" días ( "&amp;DAY(EOMONTH(L34,0))-B35+D35&amp;" reales y 1 proyectado); Reales del "&amp;B35&amp;"/"&amp;A35&amp;" al "&amp;D35-1&amp;"/"&amp;C35&amp;" ,Proyectado "&amp;D35&amp;"/"&amp;C35&amp;")")</f>
        <v>Informe 6 días ( 5 reales y 1 proyectado); Reales del 24/4 al 28/4 ,Proyectado 29/4</v>
      </c>
      <c r="T35" s="32"/>
    </row>
    <row r="36" spans="1:20" x14ac:dyDescent="0.35">
      <c r="T36" s="33"/>
    </row>
    <row r="37" spans="1:20" x14ac:dyDescent="0.35">
      <c r="A37" s="14" t="s">
        <v>20</v>
      </c>
      <c r="C37" s="14" t="s">
        <v>21</v>
      </c>
      <c r="E37" s="15" t="s">
        <v>44</v>
      </c>
      <c r="F37" s="14" t="s">
        <v>45</v>
      </c>
      <c r="I37" s="44" t="s">
        <v>9</v>
      </c>
      <c r="J37" s="44"/>
      <c r="K37" s="44"/>
      <c r="L37" s="44"/>
      <c r="M37" s="44"/>
      <c r="N37" s="44"/>
      <c r="O37" s="44"/>
      <c r="P37" s="3"/>
      <c r="Q37" s="38" t="s">
        <v>50</v>
      </c>
      <c r="R37" s="38" t="s">
        <v>75</v>
      </c>
      <c r="S37" s="27" t="s">
        <v>46</v>
      </c>
      <c r="T37" s="27" t="s">
        <v>47</v>
      </c>
    </row>
    <row r="38" spans="1:20" x14ac:dyDescent="0.35">
      <c r="A38" s="14" t="s">
        <v>19</v>
      </c>
      <c r="B38" s="14" t="s">
        <v>18</v>
      </c>
      <c r="C38" s="14" t="s">
        <v>19</v>
      </c>
      <c r="D38" s="14" t="s">
        <v>18</v>
      </c>
      <c r="I38" s="4" t="s">
        <v>0</v>
      </c>
      <c r="J38" s="4" t="s">
        <v>1</v>
      </c>
      <c r="K38" s="4" t="s">
        <v>1</v>
      </c>
      <c r="L38" s="4" t="s">
        <v>2</v>
      </c>
      <c r="M38" s="4" t="s">
        <v>3</v>
      </c>
      <c r="N38" s="4" t="s">
        <v>4</v>
      </c>
      <c r="O38" s="4" t="s">
        <v>5</v>
      </c>
    </row>
    <row r="39" spans="1:20" ht="39.75" customHeight="1" x14ac:dyDescent="0.35">
      <c r="E39" s="15">
        <f>IF(A39=C39,D39-B39+1,DAY(EOMONTH(J34,0))-B39+D39+1)</f>
        <v>1</v>
      </c>
      <c r="F39" s="14">
        <f>+F35+1</f>
        <v>18</v>
      </c>
      <c r="I39" s="18"/>
      <c r="J39" s="18"/>
      <c r="K39" s="18">
        <v>45413</v>
      </c>
      <c r="L39" s="18"/>
      <c r="M39" s="7">
        <f>+L35+1</f>
        <v>46143</v>
      </c>
      <c r="N39" s="8">
        <f t="shared" ref="N39:O39" si="28">+M39+1</f>
        <v>46144</v>
      </c>
      <c r="O39" s="8">
        <f t="shared" si="28"/>
        <v>46145</v>
      </c>
      <c r="P39" s="3"/>
      <c r="Q39" s="39"/>
      <c r="R39" s="41"/>
      <c r="S39" s="21"/>
      <c r="T39" s="32" t="s">
        <v>76</v>
      </c>
    </row>
    <row r="40" spans="1:20" ht="39.75" customHeight="1" x14ac:dyDescent="0.35">
      <c r="A40" s="14">
        <f>+MONTH(L35)</f>
        <v>4</v>
      </c>
      <c r="B40" s="14">
        <f>+DAY(L35)</f>
        <v>30</v>
      </c>
      <c r="C40" s="14">
        <f>+MONTH(L40)</f>
        <v>5</v>
      </c>
      <c r="D40" s="14">
        <f>+DAY(L40)</f>
        <v>7</v>
      </c>
      <c r="E40" s="15">
        <f>IF(A40=C40,D40-B40+1,DAY(EOMONTH(J35,0))-B40+D40+1)</f>
        <v>8</v>
      </c>
      <c r="F40" s="14">
        <f>+F39+1</f>
        <v>19</v>
      </c>
      <c r="I40" s="8">
        <f>1+O39</f>
        <v>46146</v>
      </c>
      <c r="J40" s="8">
        <f t="shared" ref="J40:O43" si="29">+I40+1</f>
        <v>46147</v>
      </c>
      <c r="K40" s="8">
        <f t="shared" si="29"/>
        <v>46148</v>
      </c>
      <c r="L40" s="8">
        <f>+K40+1</f>
        <v>46149</v>
      </c>
      <c r="M40" s="9">
        <f t="shared" si="29"/>
        <v>46150</v>
      </c>
      <c r="N40" s="9">
        <f t="shared" si="29"/>
        <v>46151</v>
      </c>
      <c r="O40" s="9">
        <f t="shared" si="29"/>
        <v>46152</v>
      </c>
      <c r="P40" s="3"/>
      <c r="Q40" s="39">
        <f t="shared" ref="Q40" si="30">DATE($A$1,C40,D40+1)</f>
        <v>46150</v>
      </c>
      <c r="R40" s="41">
        <f>R35+1</f>
        <v>18</v>
      </c>
      <c r="S40" s="21" t="str">
        <f>IF(A40=C40,"Informe "&amp;D40-B40+1&amp;" días ( "&amp;D40-B40&amp;" reales y 1 proyectado); Reales del "&amp;B40&amp;"/"&amp;C40&amp;" al "&amp;D40-1&amp;"/"&amp;A40&amp;" ,Proyectado "&amp;D40&amp;"/"&amp;A40,"Informe "&amp;DAY(EOMONTH(L34,0))-B40+D40+1&amp;" días ( "&amp;DAY(EOMONTH(L34,0))-B40+D40&amp;" reales y 1 proyectado); Reales del "&amp;B40&amp;"/"&amp;A40&amp;" al "&amp;D40-1&amp;"/"&amp;C40&amp;" ,Proyectado "&amp;D40&amp;"/"&amp;C40)</f>
        <v>Informe 8 días ( 7 reales y 1 proyectado); Reales del 30/4 al 6/5 ,Proyectado 7/5</v>
      </c>
      <c r="T40" s="32"/>
    </row>
    <row r="41" spans="1:20" ht="39.75" customHeight="1" x14ac:dyDescent="0.35">
      <c r="A41" s="14">
        <f>+MONTH(M40)</f>
        <v>5</v>
      </c>
      <c r="B41" s="14">
        <f>+DAY(M40)</f>
        <v>8</v>
      </c>
      <c r="C41" s="14">
        <f>+MONTH(L41)</f>
        <v>5</v>
      </c>
      <c r="D41" s="14">
        <f>+DAY(L41)</f>
        <v>14</v>
      </c>
      <c r="E41" s="15">
        <f t="shared" ref="E41:E42" si="31">IF(A41=C41,D41-B41+1,DAY(EOMONTH(J41,0))-B41+D41+1)</f>
        <v>7</v>
      </c>
      <c r="F41" s="14">
        <f t="shared" ref="F41:F42" si="32">1+F40</f>
        <v>20</v>
      </c>
      <c r="I41" s="9">
        <f t="shared" ref="I41:I43" si="33">1+O40</f>
        <v>46153</v>
      </c>
      <c r="J41" s="9">
        <f t="shared" si="29"/>
        <v>46154</v>
      </c>
      <c r="K41" s="9">
        <f t="shared" si="29"/>
        <v>46155</v>
      </c>
      <c r="L41" s="9">
        <f t="shared" si="29"/>
        <v>46156</v>
      </c>
      <c r="M41" s="8">
        <f t="shared" si="29"/>
        <v>46157</v>
      </c>
      <c r="N41" s="8">
        <f t="shared" si="29"/>
        <v>46158</v>
      </c>
      <c r="O41" s="8">
        <f t="shared" si="29"/>
        <v>46159</v>
      </c>
      <c r="P41" s="3"/>
      <c r="Q41" s="39">
        <f>DATE($A$1,C41,D41+1)</f>
        <v>46157</v>
      </c>
      <c r="R41" s="41">
        <f t="shared" ref="R41:R43" si="34">R40+1</f>
        <v>19</v>
      </c>
      <c r="S41" s="21" t="str">
        <f>IF(A41=C41,"Informe "&amp;D41-B41+1&amp;" días ( "&amp;D41-B41&amp;" reales y 1 proyectado); Reales del "&amp;B41&amp;"/"&amp;C41&amp;" al "&amp;D41-1&amp;"/"&amp;A41&amp;" ,Proyectado "&amp;D41&amp;"/"&amp;A41,"Informe "&amp;DAY(EOMONTH(L41,0))-B41+D41+1&amp;" días ( "&amp;DAY(EOMONTH(L41,0))-B41+D41&amp;" reales y 1 proyectado); Reales del "&amp;B41&amp;"/"&amp;A41&amp;" al "&amp;D41-1&amp;"/"&amp;C41&amp;" ,Proyectado "&amp;D41&amp;"/"&amp;C41)</f>
        <v>Informe 7 días ( 6 reales y 1 proyectado); Reales del 8/5 al 13/5 ,Proyectado 14/5</v>
      </c>
      <c r="T41" s="32"/>
    </row>
    <row r="42" spans="1:20" ht="39.75" customHeight="1" x14ac:dyDescent="0.35">
      <c r="A42" s="14">
        <f>+MONTH(M41)</f>
        <v>5</v>
      </c>
      <c r="B42" s="14">
        <f>+DAY(M41)</f>
        <v>15</v>
      </c>
      <c r="C42" s="14">
        <f>+MONTH(L42)</f>
        <v>5</v>
      </c>
      <c r="D42" s="14">
        <f>+DAY(J42)</f>
        <v>19</v>
      </c>
      <c r="E42" s="15">
        <f t="shared" si="31"/>
        <v>5</v>
      </c>
      <c r="F42" s="14">
        <f t="shared" si="32"/>
        <v>21</v>
      </c>
      <c r="I42" s="8">
        <f t="shared" si="33"/>
        <v>46160</v>
      </c>
      <c r="J42" s="8">
        <f t="shared" si="29"/>
        <v>46161</v>
      </c>
      <c r="K42" s="9">
        <f t="shared" si="29"/>
        <v>46162</v>
      </c>
      <c r="L42" s="7">
        <f t="shared" si="29"/>
        <v>46163</v>
      </c>
      <c r="M42" s="7">
        <f t="shared" si="29"/>
        <v>46164</v>
      </c>
      <c r="N42" s="9">
        <f t="shared" si="29"/>
        <v>46165</v>
      </c>
      <c r="O42" s="9">
        <f t="shared" si="29"/>
        <v>46166</v>
      </c>
      <c r="Q42" s="39">
        <f>DATE($A$1,C42,D42+1)</f>
        <v>46162</v>
      </c>
      <c r="R42" s="41">
        <f t="shared" si="34"/>
        <v>20</v>
      </c>
      <c r="S42" s="21" t="str">
        <f>IF(A42=C42,"Informe "&amp;D42-B42+1&amp;" días ( "&amp;D42-B42&amp;" reales y 1 proyectado); Reales del "&amp;B42&amp;"/"&amp;C42&amp;" al "&amp;D42-1&amp;"/"&amp;A42&amp;" ,Proyectado "&amp;D42&amp;"/"&amp;A42,"Informe "&amp;DAY(EOMONTH(J42,0))-B42+D42+1&amp;" días ( "&amp;DAY(EOMONTH(J42,0))-B42+D42&amp;" reales y 1 proyectado); Reales del "&amp;B42&amp;"/"&amp;A42&amp;" al "&amp;D42-1&amp;"/"&amp;C42&amp;" ,Proyectado "&amp;D42&amp;"/"&amp;C42)</f>
        <v>Informe 5 días ( 4 reales y 1 proyectado); Reales del 15/5 al 18/5 ,Proyectado 19/5</v>
      </c>
      <c r="T42" s="32" t="s">
        <v>89</v>
      </c>
    </row>
    <row r="43" spans="1:20" ht="39.75" customHeight="1" x14ac:dyDescent="0.35">
      <c r="A43" s="14">
        <f>+MONTH(M42)</f>
        <v>5</v>
      </c>
      <c r="B43" s="14">
        <f>+DAY(K42)</f>
        <v>20</v>
      </c>
      <c r="C43" s="14">
        <f>+MONTH(L43)</f>
        <v>5</v>
      </c>
      <c r="D43" s="14">
        <f>+DAY(L43)</f>
        <v>28</v>
      </c>
      <c r="E43" s="15">
        <f>IF(A43=C43,D43-B43+1,DAY(EOMONTH(J43,0))-B43+D43+1)</f>
        <v>9</v>
      </c>
      <c r="F43" s="14">
        <f>+F42+1</f>
        <v>22</v>
      </c>
      <c r="I43" s="9">
        <f t="shared" si="33"/>
        <v>46167</v>
      </c>
      <c r="J43" s="9">
        <f t="shared" si="29"/>
        <v>46168</v>
      </c>
      <c r="K43" s="9">
        <f t="shared" si="29"/>
        <v>46169</v>
      </c>
      <c r="L43" s="9">
        <f t="shared" ref="L43" si="35">+K43+1</f>
        <v>46170</v>
      </c>
      <c r="M43" s="8">
        <f t="shared" ref="M43:O43" si="36">+L43+1</f>
        <v>46171</v>
      </c>
      <c r="N43" s="8">
        <f t="shared" si="36"/>
        <v>46172</v>
      </c>
      <c r="O43" s="8">
        <f t="shared" si="36"/>
        <v>46173</v>
      </c>
      <c r="Q43" s="39">
        <f>DATE($A$1,C43,D43+1)</f>
        <v>46171</v>
      </c>
      <c r="R43" s="41">
        <f t="shared" si="34"/>
        <v>21</v>
      </c>
      <c r="S43" s="21" t="str">
        <f>IF(A43=C43,"Informe "&amp;D43-B43+1&amp;" días ( "&amp;D43-B43&amp;" reales y 1 proyectado); Reales del "&amp;B43&amp;"/"&amp;C43&amp;" al "&amp;D43-1&amp;"/"&amp;A43&amp;" ,Proyectado "&amp;D43&amp;"/"&amp;A43,"Informe "&amp;DAY(EOMONTH(L43,0))-B43+D43+1&amp;" días ( "&amp;DAY(EOMONTH(L43,0))-B43+D43&amp;" reales y 1 proyectado); Reales del "&amp;B43&amp;"/"&amp;A43&amp;" al "&amp;D43-1&amp;"/"&amp;C43&amp;" ,Proyectado "&amp;D43&amp;"/"&amp;C43)</f>
        <v>Informe 9 días ( 8 reales y 1 proyectado); Reales del 20/5 al 27/5 ,Proyectado 28/5</v>
      </c>
      <c r="T43" s="32"/>
    </row>
    <row r="44" spans="1:20" x14ac:dyDescent="0.35">
      <c r="T44" s="33"/>
    </row>
    <row r="45" spans="1:20" x14ac:dyDescent="0.35">
      <c r="A45" s="14" t="s">
        <v>20</v>
      </c>
      <c r="C45" s="14" t="s">
        <v>21</v>
      </c>
      <c r="E45" s="15" t="s">
        <v>44</v>
      </c>
      <c r="F45" s="14" t="s">
        <v>45</v>
      </c>
      <c r="I45" s="44" t="s">
        <v>11</v>
      </c>
      <c r="J45" s="44"/>
      <c r="K45" s="44"/>
      <c r="L45" s="44"/>
      <c r="M45" s="44"/>
      <c r="N45" s="44"/>
      <c r="O45" s="44"/>
      <c r="Q45" s="38" t="s">
        <v>50</v>
      </c>
      <c r="R45" s="38" t="s">
        <v>75</v>
      </c>
      <c r="S45" s="27" t="s">
        <v>46</v>
      </c>
      <c r="T45" s="27" t="s">
        <v>47</v>
      </c>
    </row>
    <row r="46" spans="1:20" x14ac:dyDescent="0.35">
      <c r="A46" s="14" t="s">
        <v>19</v>
      </c>
      <c r="B46" s="14" t="s">
        <v>18</v>
      </c>
      <c r="C46" s="14" t="s">
        <v>19</v>
      </c>
      <c r="D46" s="14" t="s">
        <v>18</v>
      </c>
      <c r="I46" s="4" t="s">
        <v>0</v>
      </c>
      <c r="J46" s="4" t="s">
        <v>1</v>
      </c>
      <c r="K46" s="4" t="s">
        <v>1</v>
      </c>
      <c r="L46" s="4" t="s">
        <v>2</v>
      </c>
      <c r="M46" s="4" t="s">
        <v>3</v>
      </c>
      <c r="N46" s="4" t="s">
        <v>4</v>
      </c>
      <c r="O46" s="4" t="s">
        <v>5</v>
      </c>
    </row>
    <row r="47" spans="1:20" ht="40.5" customHeight="1" x14ac:dyDescent="0.35">
      <c r="A47" s="14">
        <f>+MONTH(M43)</f>
        <v>5</v>
      </c>
      <c r="B47" s="14">
        <f>+DAY(M43)</f>
        <v>29</v>
      </c>
      <c r="C47" s="14">
        <f>+MONTH(L47)</f>
        <v>6</v>
      </c>
      <c r="D47" s="14">
        <f>+DAY(L47)</f>
        <v>4</v>
      </c>
      <c r="F47" s="14">
        <f>+F43</f>
        <v>22</v>
      </c>
      <c r="I47" s="8">
        <f>O43+1</f>
        <v>46174</v>
      </c>
      <c r="J47" s="8">
        <f t="shared" ref="J47:O51" si="37">+I47+1</f>
        <v>46175</v>
      </c>
      <c r="K47" s="8">
        <f t="shared" ref="K47" si="38">+J47+1</f>
        <v>46176</v>
      </c>
      <c r="L47" s="8">
        <f t="shared" ref="L47" si="39">+K47+1</f>
        <v>46177</v>
      </c>
      <c r="M47" s="9">
        <f t="shared" ref="M47" si="40">+L47+1</f>
        <v>46178</v>
      </c>
      <c r="N47" s="9">
        <f t="shared" ref="N47" si="41">+M47+1</f>
        <v>46179</v>
      </c>
      <c r="O47" s="7">
        <f t="shared" ref="O47" si="42">+N47+1</f>
        <v>46180</v>
      </c>
      <c r="Q47" s="39">
        <f>DATE($A$1,C47,D47+1)</f>
        <v>46178</v>
      </c>
      <c r="R47" s="41">
        <f>R43+1</f>
        <v>22</v>
      </c>
      <c r="S47" s="21" t="str">
        <f>IF(A47=C47,"Informe "&amp;D47-B47+1&amp;" días ( "&amp;D47-B47&amp;" reales y 1 proyectado); Reales del "&amp;B47&amp;"/"&amp;C47&amp;" al "&amp;D47-1&amp;"/"&amp;A47&amp;" ,Proyectado "&amp;D47&amp;"/"&amp;A47,"Informe "&amp;DAY(EOMONTH(M42,0))-B47+D47+1&amp;" días ( "&amp;DAY(EOMONTH(M42,0))-B47+D47&amp;" reales y 1 proyectado); Reales del "&amp;B47&amp;"/"&amp;A47&amp;" al "&amp;D47-1&amp;"/"&amp;C47&amp;" ,Proyectado "&amp;D47&amp;"/"&amp;C47)</f>
        <v>Informe 7 días ( 6 reales y 1 proyectado); Reales del 29/5 al 3/6 ,Proyectado 4/6</v>
      </c>
      <c r="T47" s="32" t="s">
        <v>85</v>
      </c>
    </row>
    <row r="48" spans="1:20" ht="40.5" customHeight="1" x14ac:dyDescent="0.35">
      <c r="A48" s="14">
        <f>+MONTH(M47)</f>
        <v>6</v>
      </c>
      <c r="B48" s="14">
        <f>+DAY(M47)</f>
        <v>5</v>
      </c>
      <c r="C48" s="14">
        <f>+MONTH(L48)</f>
        <v>6</v>
      </c>
      <c r="D48" s="14">
        <f>+DAY(L48)</f>
        <v>11</v>
      </c>
      <c r="E48" s="15">
        <f>IF(A48=C48,D48-B48+1,DAY(EOMONTH(M43,0))-B48+D48+1)</f>
        <v>7</v>
      </c>
      <c r="F48" s="14">
        <f>+F47+1</f>
        <v>23</v>
      </c>
      <c r="I48" s="9">
        <f t="shared" ref="I48" si="43">1+O47</f>
        <v>46181</v>
      </c>
      <c r="J48" s="9">
        <f t="shared" si="37"/>
        <v>46182</v>
      </c>
      <c r="K48" s="9">
        <f t="shared" si="37"/>
        <v>46183</v>
      </c>
      <c r="L48" s="9">
        <f t="shared" si="37"/>
        <v>46184</v>
      </c>
      <c r="M48" s="8">
        <f>+L48+1</f>
        <v>46185</v>
      </c>
      <c r="N48" s="8">
        <f t="shared" si="37"/>
        <v>46186</v>
      </c>
      <c r="O48" s="8">
        <f t="shared" si="37"/>
        <v>46187</v>
      </c>
      <c r="Q48" s="39">
        <f>DATE($A$1,C48,D48+1)</f>
        <v>46185</v>
      </c>
      <c r="R48" s="41">
        <f>R47+1</f>
        <v>23</v>
      </c>
      <c r="S48" s="21" t="str">
        <f>IF(A48=C48,"Informe "&amp;D48-B48+1&amp;" días ( "&amp;D48-B48&amp;" reales y 1 proyectado); Reales del "&amp;B48&amp;"/"&amp;C48&amp;" al "&amp;D48-1&amp;"/"&amp;A48&amp;" ,Proyectado "&amp;D48&amp;"/"&amp;A48,"Informe "&amp;DAY(EOMONTH(M43,0))-B48+D48+1&amp;" días ( "&amp;DAY(EOMONTH(M43,0))-B48+D48&amp;" reales y 1 proyectado); Reales del "&amp;B48&amp;"/"&amp;A48&amp;" al "&amp;D48-1&amp;"/"&amp;C48&amp;" ,Proyectado "&amp;D48&amp;"/"&amp;C48)</f>
        <v>Informe 7 días ( 6 reales y 1 proyectado); Reales del 5/6 al 10/6 ,Proyectado 11/6</v>
      </c>
      <c r="T48" s="32"/>
    </row>
    <row r="49" spans="1:20" ht="40.5" customHeight="1" x14ac:dyDescent="0.35">
      <c r="A49" s="14">
        <f>+MONTH(M48)</f>
        <v>6</v>
      </c>
      <c r="B49" s="14">
        <f>+DAY(M48)</f>
        <v>12</v>
      </c>
      <c r="C49" s="14">
        <f>+MONTH(L49)</f>
        <v>6</v>
      </c>
      <c r="D49" s="14">
        <f>+DAY(L49)</f>
        <v>18</v>
      </c>
      <c r="E49" s="15">
        <f>IF(A49=C49,D49-B49+1,DAY(EOMONTH(M44,0))-B49+D49+1)</f>
        <v>7</v>
      </c>
      <c r="F49" s="14">
        <f t="shared" ref="F49:F50" si="44">1+F48</f>
        <v>24</v>
      </c>
      <c r="I49" s="8">
        <f>1+O48</f>
        <v>46188</v>
      </c>
      <c r="J49" s="8">
        <f t="shared" si="37"/>
        <v>46189</v>
      </c>
      <c r="K49" s="8">
        <f t="shared" si="37"/>
        <v>46190</v>
      </c>
      <c r="L49" s="8">
        <f t="shared" si="37"/>
        <v>46191</v>
      </c>
      <c r="M49" s="9">
        <f t="shared" si="37"/>
        <v>46192</v>
      </c>
      <c r="N49" s="9">
        <f t="shared" si="37"/>
        <v>46193</v>
      </c>
      <c r="O49" s="7">
        <f t="shared" si="37"/>
        <v>46194</v>
      </c>
      <c r="Q49" s="39">
        <f t="shared" ref="Q49:Q50" si="45">DATE($A$1,C49,D49+1)</f>
        <v>46192</v>
      </c>
      <c r="R49" s="41">
        <f>R48+1</f>
        <v>24</v>
      </c>
      <c r="S49" s="21" t="str">
        <f t="shared" ref="S49:S50" si="46">IF(A49=C49,"Informe "&amp;D49-B49+1&amp;" días ( "&amp;D49-B49&amp;" reales y 1 proyectado); Reales del "&amp;B49&amp;"/"&amp;C49&amp;" al "&amp;D49-1&amp;"/"&amp;A49&amp;" ,Proyectado "&amp;D49&amp;"/"&amp;A49,"Informe "&amp;DAY(EOMONTH(M44,0))-B49+D49+1&amp;" días ( "&amp;DAY(EOMONTH(M44,0))-B49+D49&amp;" reales y 1 proyectado); Reales del "&amp;B49&amp;"/"&amp;A49&amp;" al "&amp;D49-1&amp;"/"&amp;C49&amp;" ,Proyectado "&amp;D49&amp;"/"&amp;C49)</f>
        <v>Informe 7 días ( 6 reales y 1 proyectado); Reales del 12/6 al 17/6 ,Proyectado 18/6</v>
      </c>
      <c r="T49" s="32" t="s">
        <v>77</v>
      </c>
    </row>
    <row r="50" spans="1:20" ht="40.5" customHeight="1" x14ac:dyDescent="0.35">
      <c r="A50" s="14">
        <f>+MONTH(M49)</f>
        <v>6</v>
      </c>
      <c r="B50" s="14">
        <f>+DAY(M49)</f>
        <v>19</v>
      </c>
      <c r="C50" s="14">
        <f>+MONTH(L50)</f>
        <v>6</v>
      </c>
      <c r="D50" s="14">
        <f>+DAY(L50)</f>
        <v>25</v>
      </c>
      <c r="E50" s="15">
        <f t="shared" ref="E50:E51" si="47">IF(A50=C50,D50-B50+1,DAY(EOMONTH(M45,0))-B50+D50+1)</f>
        <v>7</v>
      </c>
      <c r="F50" s="14">
        <f t="shared" si="44"/>
        <v>25</v>
      </c>
      <c r="I50" s="9">
        <f t="shared" ref="I50:I51" si="48">1+O49</f>
        <v>46195</v>
      </c>
      <c r="J50" s="9">
        <f t="shared" si="37"/>
        <v>46196</v>
      </c>
      <c r="K50" s="9">
        <f t="shared" si="37"/>
        <v>46197</v>
      </c>
      <c r="L50" s="9">
        <f>+K50+1</f>
        <v>46198</v>
      </c>
      <c r="M50" s="8">
        <f t="shared" si="37"/>
        <v>46199</v>
      </c>
      <c r="N50" s="8">
        <f t="shared" si="37"/>
        <v>46200</v>
      </c>
      <c r="O50" s="8">
        <f t="shared" si="37"/>
        <v>46201</v>
      </c>
      <c r="Q50" s="39">
        <f t="shared" si="45"/>
        <v>46199</v>
      </c>
      <c r="R50" s="41">
        <f>R49+1</f>
        <v>25</v>
      </c>
      <c r="S50" s="21" t="str">
        <f t="shared" si="46"/>
        <v>Informe 7 días ( 6 reales y 1 proyectado); Reales del 19/6 al 24/6 ,Proyectado 25/6</v>
      </c>
      <c r="T50" s="32"/>
    </row>
    <row r="51" spans="1:20" ht="40.5" customHeight="1" x14ac:dyDescent="0.35">
      <c r="F51" s="14">
        <f>+F50+1</f>
        <v>26</v>
      </c>
      <c r="I51" s="7">
        <f t="shared" si="48"/>
        <v>46202</v>
      </c>
      <c r="J51" s="8">
        <f t="shared" si="37"/>
        <v>46203</v>
      </c>
      <c r="K51" s="18"/>
      <c r="L51" s="18"/>
      <c r="M51" s="18"/>
      <c r="N51" s="18"/>
      <c r="O51" s="18"/>
      <c r="Q51" s="39"/>
      <c r="R51" s="41"/>
      <c r="S51" s="21"/>
      <c r="T51" s="32" t="s">
        <v>78</v>
      </c>
    </row>
    <row r="52" spans="1:20" ht="15.5" x14ac:dyDescent="0.35">
      <c r="I52" s="16" t="s">
        <v>48</v>
      </c>
      <c r="T52" s="28">
        <f ca="1">T1</f>
        <v>46139</v>
      </c>
    </row>
    <row r="53" spans="1:20" ht="15.5" x14ac:dyDescent="0.35">
      <c r="A53" s="14" t="s">
        <v>23</v>
      </c>
      <c r="I53" s="16" t="str">
        <f>+I2</f>
        <v>PROGRAMACION  2026</v>
      </c>
      <c r="Q53" s="37"/>
      <c r="R53" s="24"/>
      <c r="S53" s="25"/>
      <c r="T53" s="29" t="str">
        <f>T2</f>
        <v>versión 0.0</v>
      </c>
    </row>
    <row r="54" spans="1:20" ht="4.5" customHeight="1" x14ac:dyDescent="0.35">
      <c r="Q54" s="37"/>
      <c r="R54" s="24"/>
      <c r="S54" s="25"/>
      <c r="T54" s="30"/>
    </row>
    <row r="55" spans="1:20" x14ac:dyDescent="0.35">
      <c r="A55" s="14" t="s">
        <v>20</v>
      </c>
      <c r="C55" s="14" t="s">
        <v>21</v>
      </c>
      <c r="E55" s="15" t="s">
        <v>44</v>
      </c>
      <c r="F55" s="14" t="s">
        <v>45</v>
      </c>
      <c r="I55" s="44" t="s">
        <v>12</v>
      </c>
      <c r="J55" s="44"/>
      <c r="K55" s="44"/>
      <c r="L55" s="44"/>
      <c r="M55" s="44"/>
      <c r="N55" s="44"/>
      <c r="O55" s="44"/>
      <c r="Q55" s="38" t="s">
        <v>50</v>
      </c>
      <c r="R55" s="38" t="s">
        <v>75</v>
      </c>
      <c r="S55" s="27" t="s">
        <v>46</v>
      </c>
      <c r="T55" s="27" t="s">
        <v>47</v>
      </c>
    </row>
    <row r="56" spans="1:20" x14ac:dyDescent="0.35">
      <c r="A56" s="14" t="s">
        <v>19</v>
      </c>
      <c r="B56" s="14" t="s">
        <v>18</v>
      </c>
      <c r="C56" s="14" t="s">
        <v>19</v>
      </c>
      <c r="D56" s="14" t="s">
        <v>18</v>
      </c>
      <c r="I56" s="4" t="s">
        <v>0</v>
      </c>
      <c r="J56" s="4" t="s">
        <v>1</v>
      </c>
      <c r="K56" s="4" t="s">
        <v>1</v>
      </c>
      <c r="L56" s="4" t="s">
        <v>2</v>
      </c>
      <c r="M56" s="4" t="s">
        <v>3</v>
      </c>
      <c r="N56" s="4" t="s">
        <v>4</v>
      </c>
      <c r="O56" s="4" t="s">
        <v>5</v>
      </c>
    </row>
    <row r="57" spans="1:20" ht="38.65" customHeight="1" x14ac:dyDescent="0.35">
      <c r="A57" s="14">
        <f>+MONTH(M50)</f>
        <v>6</v>
      </c>
      <c r="B57" s="14">
        <f>+DAY(M50)</f>
        <v>26</v>
      </c>
      <c r="C57" s="14">
        <f>+MONTH(L57)</f>
        <v>7</v>
      </c>
      <c r="D57" s="14">
        <f>+DAY(L57)</f>
        <v>2</v>
      </c>
      <c r="E57" s="15">
        <f>IF(A57=C57,D57-B57+1,DAY(EOMONTH(J50,0))-B57+D57+1)</f>
        <v>7</v>
      </c>
      <c r="F57" s="14">
        <f>+F51</f>
        <v>26</v>
      </c>
      <c r="I57" s="6"/>
      <c r="J57" s="6"/>
      <c r="K57" s="8">
        <f>+J51+1</f>
        <v>46204</v>
      </c>
      <c r="L57" s="8">
        <f>+K57+1</f>
        <v>46205</v>
      </c>
      <c r="M57" s="9">
        <f t="shared" ref="M57:O57" si="49">+L57+1</f>
        <v>46206</v>
      </c>
      <c r="N57" s="9">
        <f t="shared" si="49"/>
        <v>46207</v>
      </c>
      <c r="O57" s="9">
        <f t="shared" si="49"/>
        <v>46208</v>
      </c>
      <c r="Q57" s="39">
        <f>DATE($A$1,C57,D57+1)</f>
        <v>46206</v>
      </c>
      <c r="R57" s="41">
        <f>R50+1</f>
        <v>26</v>
      </c>
      <c r="S57" s="21" t="str">
        <f>IF(A57=C57,"Informe "&amp;D57-B57+1&amp;" días ( "&amp;D57-B57&amp;" reales y 1 proyectado); Reales del "&amp;B57&amp;"/"&amp;C57&amp;" al "&amp;D57-1&amp;"/"&amp;A57&amp;" ,Proyectado "&amp;D57&amp;"/"&amp;A57,"Informe "&amp;DAY(EOMONTH(M51,0))-B57+D57&amp;" días ( "&amp;DAY(EOMONTH(M51,0))-B57+D57-1&amp;" reales y 1 proyectado); Reales del "&amp;B57&amp;"/"&amp;A57&amp;" al "&amp;D57-1&amp;"/"&amp;C57&amp;" ,Proyectado "&amp;D57&amp;"/"&amp;C57)</f>
        <v>Informe 7 días ( 6 reales y 1 proyectado); Reales del 26/6 al 1/7 ,Proyectado 2/7</v>
      </c>
      <c r="T57" s="32"/>
    </row>
    <row r="58" spans="1:20" ht="38.65" customHeight="1" x14ac:dyDescent="0.35">
      <c r="A58" s="14">
        <f>+MONTH(M57)</f>
        <v>7</v>
      </c>
      <c r="B58" s="14">
        <f>+DAY(M57)</f>
        <v>3</v>
      </c>
      <c r="C58" s="14">
        <f>+MONTH(L58)</f>
        <v>7</v>
      </c>
      <c r="D58" s="14">
        <f>+DAY(L58)</f>
        <v>9</v>
      </c>
      <c r="E58" s="15">
        <f t="shared" ref="E58:E60" si="50">IF(A58=C58,D58-B58+1,DAY(EOMONTH(J58,0))-B58+D58+1)</f>
        <v>7</v>
      </c>
      <c r="F58" s="14">
        <f>1+F57</f>
        <v>27</v>
      </c>
      <c r="I58" s="9">
        <f t="shared" ref="I58" si="51">1+O57</f>
        <v>46209</v>
      </c>
      <c r="J58" s="9">
        <f t="shared" ref="J58:O61" si="52">+I58+1</f>
        <v>46210</v>
      </c>
      <c r="K58" s="9">
        <f t="shared" si="52"/>
        <v>46211</v>
      </c>
      <c r="L58" s="9">
        <f t="shared" si="52"/>
        <v>46212</v>
      </c>
      <c r="M58" s="8">
        <f t="shared" si="52"/>
        <v>46213</v>
      </c>
      <c r="N58" s="8">
        <f t="shared" si="52"/>
        <v>46214</v>
      </c>
      <c r="O58" s="8">
        <f t="shared" si="52"/>
        <v>46215</v>
      </c>
      <c r="Q58" s="39">
        <f t="shared" ref="Q58:Q60" si="53">DATE($A$1,C58,D58+1)</f>
        <v>46213</v>
      </c>
      <c r="R58" s="41">
        <f>R57+1</f>
        <v>27</v>
      </c>
      <c r="S58" s="21" t="str">
        <f>IF(A58=C58,"Informe "&amp;D58-B58+1&amp;" días ( "&amp;D58-B58&amp;" reales y 1 proyectado); Reales del "&amp;B58&amp;"/"&amp;C58&amp;" al "&amp;D58-1&amp;"/"&amp;A58&amp;" ,Proyectado "&amp;D58&amp;"/"&amp;A58,"Informe "&amp;DAY(EOMONTH(M50,0))-B58+D58+1&amp;" días ( "&amp;DAY(EOMONTH(M50,0))-B58+D58&amp;" reales y 1 proyectado); Reales del "&amp;B58&amp;"/"&amp;A58&amp;" al "&amp;D58-1&amp;"/"&amp;C58&amp;" ,Proyectado "&amp;D58&amp;"/"&amp;C58)</f>
        <v>Informe 7 días ( 6 reales y 1 proyectado); Reales del 3/7 al 8/7 ,Proyectado 9/7</v>
      </c>
      <c r="T58" s="32"/>
    </row>
    <row r="59" spans="1:20" ht="38.65" customHeight="1" x14ac:dyDescent="0.35">
      <c r="A59" s="14">
        <f>+MONTH(M58)</f>
        <v>7</v>
      </c>
      <c r="B59" s="14">
        <f>+DAY(M58)</f>
        <v>10</v>
      </c>
      <c r="C59" s="14">
        <f>+MONTH(L59)</f>
        <v>7</v>
      </c>
      <c r="D59" s="14">
        <f>+DAY(J59)</f>
        <v>14</v>
      </c>
      <c r="E59" s="15">
        <f t="shared" si="50"/>
        <v>5</v>
      </c>
      <c r="F59" s="14">
        <f t="shared" ref="F59:F61" si="54">1+F58</f>
        <v>28</v>
      </c>
      <c r="I59" s="8">
        <f>1+O58</f>
        <v>46216</v>
      </c>
      <c r="J59" s="8">
        <f t="shared" si="52"/>
        <v>46217</v>
      </c>
      <c r="K59" s="9">
        <f t="shared" si="52"/>
        <v>46218</v>
      </c>
      <c r="L59" s="7">
        <f t="shared" si="52"/>
        <v>46219</v>
      </c>
      <c r="M59" s="7">
        <f t="shared" si="52"/>
        <v>46220</v>
      </c>
      <c r="N59" s="9">
        <f t="shared" si="52"/>
        <v>46221</v>
      </c>
      <c r="O59" s="9">
        <f t="shared" si="52"/>
        <v>46222</v>
      </c>
      <c r="Q59" s="39">
        <f t="shared" si="53"/>
        <v>46218</v>
      </c>
      <c r="R59" s="41">
        <f>R58+1</f>
        <v>28</v>
      </c>
      <c r="S59" s="21" t="str">
        <f>IF(A59=C59,"Informe "&amp;D59-B59+1&amp;" días ( "&amp;D59-B59&amp;" reales y 1 proyectado); Reales del "&amp;B59&amp;"/"&amp;C59&amp;" al "&amp;D59-1&amp;"/"&amp;A59&amp;" ,Proyectado "&amp;D59&amp;"/"&amp;A59,"Informe "&amp;DAY(EOMONTH(M51,0))-B59+D59+1&amp;" días ( "&amp;DAY(EOMONTH(M51,0))-B59+D59&amp;" reales y 1 proyectado); Reales del "&amp;B59&amp;"/"&amp;A59&amp;" al "&amp;D59-1&amp;"/"&amp;C59&amp;" ,Proyectado "&amp;D59&amp;"/"&amp;C59)</f>
        <v>Informe 5 días ( 4 reales y 1 proyectado); Reales del 10/7 al 13/7 ,Proyectado 14/7</v>
      </c>
      <c r="T59" s="32" t="s">
        <v>90</v>
      </c>
    </row>
    <row r="60" spans="1:20" ht="38.65" customHeight="1" x14ac:dyDescent="0.35">
      <c r="A60" s="14">
        <f>+MONTH(M59)</f>
        <v>7</v>
      </c>
      <c r="B60" s="14">
        <f>+DAY(K59)</f>
        <v>15</v>
      </c>
      <c r="C60" s="14">
        <f>+MONTH(L60)</f>
        <v>7</v>
      </c>
      <c r="D60" s="14">
        <f>+DAY(L60)</f>
        <v>23</v>
      </c>
      <c r="E60" s="15">
        <f t="shared" si="50"/>
        <v>9</v>
      </c>
      <c r="F60" s="14">
        <f t="shared" si="54"/>
        <v>29</v>
      </c>
      <c r="I60" s="9">
        <f t="shared" ref="I60" si="55">1+O59</f>
        <v>46223</v>
      </c>
      <c r="J60" s="9">
        <f t="shared" si="52"/>
        <v>46224</v>
      </c>
      <c r="K60" s="9">
        <f t="shared" si="52"/>
        <v>46225</v>
      </c>
      <c r="L60" s="9">
        <f t="shared" si="52"/>
        <v>46226</v>
      </c>
      <c r="M60" s="8">
        <f t="shared" si="52"/>
        <v>46227</v>
      </c>
      <c r="N60" s="8">
        <f t="shared" si="52"/>
        <v>46228</v>
      </c>
      <c r="O60" s="8">
        <f t="shared" si="52"/>
        <v>46229</v>
      </c>
      <c r="Q60" s="39">
        <f t="shared" si="53"/>
        <v>46227</v>
      </c>
      <c r="R60" s="41">
        <f t="shared" ref="R60:R61" si="56">R59+1</f>
        <v>29</v>
      </c>
      <c r="S60" s="21" t="str">
        <f>IF(A60=C60,"Informe "&amp;D60-B60+1&amp;" días ( "&amp;D60-B60&amp;" reales y 1 proyectado); Reales del "&amp;B60&amp;"/"&amp;C60&amp;" al "&amp;D60-1&amp;"/"&amp;A60&amp;" ,Proyectado "&amp;D60&amp;"/"&amp;A60,"Informe "&amp;DAY(EOMONTH(M60,0))-B60+D60+1&amp;" días ( "&amp;DAY(EOMONTH(M60,0))-B60+D60&amp;" reales y 1 proyectado); Reales del "&amp;B60&amp;"/"&amp;A60&amp;" al "&amp;D60-1&amp;"/"&amp;C60&amp;" ,Proyectado "&amp;D60&amp;"/"&amp;C60)</f>
        <v>Informe 9 días ( 8 reales y 1 proyectado); Reales del 15/7 al 22/7 ,Proyectado 23/7</v>
      </c>
      <c r="T60" s="32"/>
    </row>
    <row r="61" spans="1:20" ht="38.65" customHeight="1" x14ac:dyDescent="0.35">
      <c r="A61" s="14">
        <f>+MONTH(M60)</f>
        <v>7</v>
      </c>
      <c r="B61" s="14">
        <f>+DAY(M60)</f>
        <v>24</v>
      </c>
      <c r="C61" s="14">
        <f>+MONTH(L61)</f>
        <v>7</v>
      </c>
      <c r="D61" s="14">
        <f>+DAY(L61)</f>
        <v>30</v>
      </c>
      <c r="F61" s="14">
        <f t="shared" si="54"/>
        <v>30</v>
      </c>
      <c r="I61" s="8">
        <f>1+O60</f>
        <v>46230</v>
      </c>
      <c r="J61" s="8">
        <f t="shared" si="52"/>
        <v>46231</v>
      </c>
      <c r="K61" s="8">
        <f t="shared" si="52"/>
        <v>46232</v>
      </c>
      <c r="L61" s="8">
        <f t="shared" si="52"/>
        <v>46233</v>
      </c>
      <c r="M61" s="9">
        <f t="shared" si="52"/>
        <v>46234</v>
      </c>
      <c r="N61" s="6"/>
      <c r="O61" s="6"/>
      <c r="Q61" s="39">
        <f t="shared" ref="Q61" si="57">DATE($A$1,C61,D61+1)</f>
        <v>46234</v>
      </c>
      <c r="R61" s="41">
        <f t="shared" si="56"/>
        <v>30</v>
      </c>
      <c r="S61" s="21" t="str">
        <f>IF(A61=C61,"Informe "&amp;D61-B61+1&amp;" días ( "&amp;D61-B61&amp;" reales y 1 proyectado); Reales del "&amp;B61&amp;"/"&amp;C61&amp;" al "&amp;D61-1&amp;"/"&amp;A61&amp;" ,Proyectado "&amp;D61&amp;"/"&amp;A61,"Informe "&amp;DAY(EOMONTH(M61,0))-B61+D61+1&amp;" días ( "&amp;DAY(EOMONTH(M61,0))-B61+D61&amp;" reales y 1 proyectado); Reales del "&amp;B61&amp;"/"&amp;A61&amp;" al "&amp;D61-1&amp;"/"&amp;C61&amp;" ,Proyectado "&amp;D61&amp;"/"&amp;C61)</f>
        <v>Informe 7 días ( 6 reales y 1 proyectado); Reales del 24/7 al 29/7 ,Proyectado 30/7</v>
      </c>
      <c r="T61" s="32"/>
    </row>
    <row r="62" spans="1:20" x14ac:dyDescent="0.35">
      <c r="T62" s="33"/>
    </row>
    <row r="63" spans="1:20" x14ac:dyDescent="0.35">
      <c r="A63" s="14" t="s">
        <v>20</v>
      </c>
      <c r="C63" s="14" t="s">
        <v>21</v>
      </c>
      <c r="E63" s="15" t="s">
        <v>44</v>
      </c>
      <c r="I63" s="44" t="s">
        <v>13</v>
      </c>
      <c r="J63" s="44"/>
      <c r="K63" s="44"/>
      <c r="L63" s="44"/>
      <c r="M63" s="44"/>
      <c r="N63" s="44"/>
      <c r="O63" s="44"/>
      <c r="Q63" s="38" t="s">
        <v>50</v>
      </c>
      <c r="R63" s="38" t="s">
        <v>75</v>
      </c>
      <c r="S63" s="27" t="s">
        <v>46</v>
      </c>
      <c r="T63" s="27" t="s">
        <v>47</v>
      </c>
    </row>
    <row r="64" spans="1:20" x14ac:dyDescent="0.35">
      <c r="A64" s="14" t="s">
        <v>19</v>
      </c>
      <c r="B64" s="14" t="s">
        <v>18</v>
      </c>
      <c r="C64" s="14" t="s">
        <v>19</v>
      </c>
      <c r="D64" s="14" t="s">
        <v>18</v>
      </c>
      <c r="I64" s="4" t="s">
        <v>0</v>
      </c>
      <c r="J64" s="4" t="s">
        <v>1</v>
      </c>
      <c r="K64" s="4" t="s">
        <v>1</v>
      </c>
      <c r="L64" s="4" t="s">
        <v>2</v>
      </c>
      <c r="M64" s="4" t="s">
        <v>3</v>
      </c>
      <c r="N64" s="4" t="s">
        <v>4</v>
      </c>
      <c r="O64" s="4" t="s">
        <v>5</v>
      </c>
    </row>
    <row r="65" spans="1:20" ht="38.65" customHeight="1" x14ac:dyDescent="0.35">
      <c r="E65" s="15">
        <f>IF(A65=C65,D65-B65+1,DAY(EOMONTH(L65,0))-B65+D65+1)</f>
        <v>1</v>
      </c>
      <c r="F65" s="14">
        <f>1+F61</f>
        <v>31</v>
      </c>
      <c r="I65" s="6"/>
      <c r="J65" s="6"/>
      <c r="K65" s="6"/>
      <c r="L65" s="6"/>
      <c r="M65" s="6"/>
      <c r="N65" s="9">
        <f>+M61+1</f>
        <v>46235</v>
      </c>
      <c r="O65" s="9">
        <f t="shared" ref="O65" si="58">+N65+1</f>
        <v>46236</v>
      </c>
      <c r="Q65" s="39"/>
      <c r="R65" s="41"/>
      <c r="S65" s="21"/>
      <c r="T65" s="32"/>
    </row>
    <row r="66" spans="1:20" ht="38.65" customHeight="1" x14ac:dyDescent="0.35">
      <c r="A66" s="14">
        <f>+MONTH(M61)</f>
        <v>7</v>
      </c>
      <c r="B66" s="14">
        <f>+DAY(M61)</f>
        <v>31</v>
      </c>
      <c r="C66" s="14">
        <f>+MONTH(L66)</f>
        <v>8</v>
      </c>
      <c r="D66" s="14">
        <f>+DAY(L66)</f>
        <v>6</v>
      </c>
      <c r="E66" s="15">
        <f>IF(A66=C66,D66-B66+1,DAY(EOMONTH(L66,0))-B66+D66+1)</f>
        <v>7</v>
      </c>
      <c r="F66" s="14">
        <f>1+F65</f>
        <v>32</v>
      </c>
      <c r="I66" s="9">
        <f>1+O65</f>
        <v>46237</v>
      </c>
      <c r="J66" s="9">
        <f>+I66+1</f>
        <v>46238</v>
      </c>
      <c r="K66" s="9">
        <f t="shared" ref="J66:O69" si="59">+J66+1</f>
        <v>46239</v>
      </c>
      <c r="L66" s="9">
        <f t="shared" si="59"/>
        <v>46240</v>
      </c>
      <c r="M66" s="8">
        <f t="shared" si="59"/>
        <v>46241</v>
      </c>
      <c r="N66" s="8">
        <f t="shared" si="59"/>
        <v>46242</v>
      </c>
      <c r="O66" s="8">
        <f t="shared" si="59"/>
        <v>46243</v>
      </c>
      <c r="Q66" s="39">
        <f t="shared" ref="Q66:Q69" si="60">DATE($A$1,C66,D66+1)</f>
        <v>46241</v>
      </c>
      <c r="R66" s="41">
        <f>R61+1</f>
        <v>31</v>
      </c>
      <c r="S66" s="21" t="str">
        <f>IF(A66=C66,"Informe "&amp;D66-B66+1&amp;" días ( "&amp;D66-B66&amp;" reales y 1 proyectado); Reales del "&amp;B66&amp;"/"&amp;C66&amp;" al "&amp;D66-1&amp;"/"&amp;A66&amp;" ,Proyectado "&amp;D66&amp;"/"&amp;A66,"Informe "&amp;DAY(EOMONTH(L65,0))-B66+D66+1&amp;" días ( "&amp;DAY(EOMONTH(L65,0))-B66+D66&amp;" reales y 1 proyectado); Reales del "&amp;B66&amp;"/"&amp;A66&amp;" al "&amp;D66-1&amp;"/"&amp;C66&amp;" ,Proyectado "&amp;D66&amp;"/"&amp;C66)</f>
        <v>Informe 7 días ( 6 reales y 1 proyectado); Reales del 31/7 al 5/8 ,Proyectado 6/8</v>
      </c>
      <c r="T66" s="32"/>
    </row>
    <row r="67" spans="1:20" ht="38.65" customHeight="1" x14ac:dyDescent="0.35">
      <c r="A67" s="14">
        <f>+MONTH(M66)</f>
        <v>8</v>
      </c>
      <c r="B67" s="14">
        <f>+DAY(M66)</f>
        <v>7</v>
      </c>
      <c r="C67" s="14">
        <f>+MONTH(L67)</f>
        <v>8</v>
      </c>
      <c r="D67" s="14">
        <f>+DAY(L67)</f>
        <v>13</v>
      </c>
      <c r="E67" s="15">
        <f t="shared" ref="E67:E68" si="61">IF(A67=C67,D67-B67+1,DAY(EOMONTH(L67,0))-B67+D67+1)</f>
        <v>7</v>
      </c>
      <c r="F67" s="14">
        <f t="shared" ref="F67:F68" si="62">1+F66</f>
        <v>33</v>
      </c>
      <c r="I67" s="8">
        <f>1+O66</f>
        <v>46244</v>
      </c>
      <c r="J67" s="8">
        <f t="shared" si="59"/>
        <v>46245</v>
      </c>
      <c r="K67" s="8">
        <f t="shared" si="59"/>
        <v>46246</v>
      </c>
      <c r="L67" s="8">
        <f t="shared" si="59"/>
        <v>46247</v>
      </c>
      <c r="M67" s="9">
        <f t="shared" si="59"/>
        <v>46248</v>
      </c>
      <c r="N67" s="7">
        <f t="shared" si="59"/>
        <v>46249</v>
      </c>
      <c r="O67" s="9">
        <f t="shared" si="59"/>
        <v>46250</v>
      </c>
      <c r="Q67" s="39">
        <f t="shared" si="60"/>
        <v>46248</v>
      </c>
      <c r="R67" s="41">
        <f t="shared" ref="R67:R69" si="63">R66+1</f>
        <v>32</v>
      </c>
      <c r="S67" s="21" t="str">
        <f>IF(A67=C67,"Informe "&amp;D67-B67+1&amp;" días ( "&amp;D67-B67&amp;" reales y 1 proyectado); Reales del "&amp;B67&amp;"/"&amp;C67&amp;" al "&amp;D67-1&amp;"/"&amp;A67&amp;" ,Proyectado "&amp;D67&amp;"/"&amp;A67,"Informe "&amp;DAY(EOMONTH(L66,0))-B67+D67+1&amp;" días ( "&amp;DAY(EOMONTH(L66,0))-B67+D67&amp;" reales y 1 proyectado); Reales del "&amp;B67&amp;"/"&amp;A67&amp;" al "&amp;D67-1&amp;"/"&amp;C67&amp;" ,Proyectado "&amp;D67&amp;"/"&amp;C67)</f>
        <v>Informe 7 días ( 6 reales y 1 proyectado); Reales del 7/8 al 12/8 ,Proyectado 13/8</v>
      </c>
      <c r="T67" s="32" t="s">
        <v>79</v>
      </c>
    </row>
    <row r="68" spans="1:20" ht="38.65" customHeight="1" x14ac:dyDescent="0.35">
      <c r="A68" s="14">
        <f>+MONTH(M67)</f>
        <v>8</v>
      </c>
      <c r="B68" s="14">
        <f>+DAY(M67)</f>
        <v>14</v>
      </c>
      <c r="C68" s="14">
        <f>+MONTH(L68)</f>
        <v>8</v>
      </c>
      <c r="D68" s="14">
        <f>+DAY(L68)</f>
        <v>20</v>
      </c>
      <c r="E68" s="15">
        <f t="shared" si="61"/>
        <v>7</v>
      </c>
      <c r="F68" s="14">
        <f t="shared" si="62"/>
        <v>34</v>
      </c>
      <c r="I68" s="9">
        <f>1+O67</f>
        <v>46251</v>
      </c>
      <c r="J68" s="9">
        <f t="shared" si="59"/>
        <v>46252</v>
      </c>
      <c r="K68" s="9">
        <f t="shared" si="59"/>
        <v>46253</v>
      </c>
      <c r="L68" s="9">
        <f t="shared" si="59"/>
        <v>46254</v>
      </c>
      <c r="M68" s="8">
        <f t="shared" si="59"/>
        <v>46255</v>
      </c>
      <c r="N68" s="8">
        <f t="shared" si="59"/>
        <v>46256</v>
      </c>
      <c r="O68" s="8">
        <f t="shared" si="59"/>
        <v>46257</v>
      </c>
      <c r="Q68" s="39">
        <f t="shared" si="60"/>
        <v>46255</v>
      </c>
      <c r="R68" s="41">
        <f t="shared" si="63"/>
        <v>33</v>
      </c>
      <c r="S68" s="21" t="str">
        <f>IF(A68=C68,"Informe "&amp;D68-B68+1&amp;" días ( "&amp;D68-B68&amp;" reales y 1 proyectado); Reales del "&amp;B68&amp;"/"&amp;C68&amp;" al "&amp;D68-1&amp;"/"&amp;A68&amp;" ,Proyectado "&amp;D68&amp;"/"&amp;A68,"Informe "&amp;DAY(EOMONTH(L67,0))-B68+D68+1&amp;" días ( "&amp;DAY(EOMONTH(L67,0))-B68+D68&amp;" reales y 1 proyectado); Reales del "&amp;B68&amp;"/"&amp;A68&amp;" al "&amp;D68-1&amp;"/"&amp;C68&amp;" ,Proyectado "&amp;D68&amp;"/"&amp;C68)</f>
        <v>Informe 7 días ( 6 reales y 1 proyectado); Reales del 14/8 al 19/8 ,Proyectado 20/8</v>
      </c>
      <c r="T68" s="32"/>
    </row>
    <row r="69" spans="1:20" ht="38.65" customHeight="1" x14ac:dyDescent="0.35">
      <c r="A69" s="14">
        <f>+MONTH(M68)</f>
        <v>8</v>
      </c>
      <c r="B69" s="14">
        <f>+DAY(M68)</f>
        <v>21</v>
      </c>
      <c r="C69" s="14">
        <f>+MONTH(L69)</f>
        <v>8</v>
      </c>
      <c r="D69" s="14">
        <f>+DAY(L69)</f>
        <v>27</v>
      </c>
      <c r="E69" s="15">
        <f t="shared" ref="E69" si="64">IF(A69=C69,D69-B69+1,DAY(EOMONTH(L69,0))-B69+D69+1)</f>
        <v>7</v>
      </c>
      <c r="F69" s="14">
        <f>+F68+1</f>
        <v>35</v>
      </c>
      <c r="I69" s="8">
        <f>1+O68</f>
        <v>46258</v>
      </c>
      <c r="J69" s="8">
        <f>+I69+1</f>
        <v>46259</v>
      </c>
      <c r="K69" s="8">
        <f t="shared" si="59"/>
        <v>46260</v>
      </c>
      <c r="L69" s="8">
        <f t="shared" si="59"/>
        <v>46261</v>
      </c>
      <c r="M69" s="9">
        <f t="shared" ref="M69" si="65">+L69+1</f>
        <v>46262</v>
      </c>
      <c r="N69" s="9">
        <f t="shared" ref="N69:O69" si="66">+M69+1</f>
        <v>46263</v>
      </c>
      <c r="O69" s="9">
        <f t="shared" si="66"/>
        <v>46264</v>
      </c>
      <c r="Q69" s="39">
        <f t="shared" si="60"/>
        <v>46262</v>
      </c>
      <c r="R69" s="41">
        <f t="shared" si="63"/>
        <v>34</v>
      </c>
      <c r="S69" s="21" t="str">
        <f>IF(A69=C69,"Informe "&amp;D69-B69+1&amp;" días ( "&amp;D69-B69&amp;" reales y 1 proyectado); Reales del "&amp;B69&amp;"/"&amp;C69&amp;" al "&amp;D69-1&amp;"/"&amp;A69&amp;" ,Proyectado "&amp;D69&amp;"/"&amp;A69,"Informe "&amp;DAY(EOMONTH(L68,0))-B69+D69+1&amp;" días ( "&amp;DAY(EOMONTH(L68,0))-B69+D69&amp;" reales y 1 proyectado); Reales del "&amp;B69&amp;"/"&amp;A69&amp;" al "&amp;D69-1&amp;"/"&amp;C69&amp;" ,Proyectado "&amp;D69&amp;"/"&amp;C69)</f>
        <v>Informe 7 días ( 6 reales y 1 proyectado); Reales del 21/8 al 26/8 ,Proyectado 27/8</v>
      </c>
      <c r="T69" s="32"/>
    </row>
    <row r="70" spans="1:20" ht="38.65" customHeight="1" x14ac:dyDescent="0.35">
      <c r="E70" s="15">
        <f t="shared" ref="E70" si="67">IF(A70=C70,D70-B70+1,DAY(EOMONTH(L70,0))-B70+D70+1)</f>
        <v>1</v>
      </c>
      <c r="F70" s="14">
        <f>+F69+1</f>
        <v>36</v>
      </c>
      <c r="I70" s="9">
        <f>1+O69</f>
        <v>46265</v>
      </c>
      <c r="J70" s="6"/>
      <c r="K70" s="6"/>
      <c r="L70" s="6"/>
      <c r="M70" s="6"/>
      <c r="N70" s="6"/>
      <c r="O70" s="6"/>
      <c r="Q70" s="39"/>
      <c r="R70" s="41"/>
      <c r="S70" s="21"/>
      <c r="T70" s="32"/>
    </row>
    <row r="71" spans="1:20" x14ac:dyDescent="0.35">
      <c r="A71" s="14" t="s">
        <v>20</v>
      </c>
      <c r="C71" s="14" t="s">
        <v>21</v>
      </c>
      <c r="E71" s="15" t="s">
        <v>44</v>
      </c>
      <c r="I71" s="44" t="s">
        <v>14</v>
      </c>
      <c r="J71" s="44"/>
      <c r="K71" s="44"/>
      <c r="L71" s="44"/>
      <c r="M71" s="44"/>
      <c r="N71" s="44"/>
      <c r="O71" s="44"/>
      <c r="Q71" s="38" t="s">
        <v>50</v>
      </c>
      <c r="R71" s="38" t="s">
        <v>75</v>
      </c>
      <c r="S71" s="27" t="s">
        <v>46</v>
      </c>
      <c r="T71" s="27" t="s">
        <v>47</v>
      </c>
    </row>
    <row r="72" spans="1:20" x14ac:dyDescent="0.35">
      <c r="A72" s="14" t="s">
        <v>19</v>
      </c>
      <c r="B72" s="14" t="s">
        <v>18</v>
      </c>
      <c r="C72" s="14" t="s">
        <v>19</v>
      </c>
      <c r="D72" s="14" t="s">
        <v>18</v>
      </c>
      <c r="I72" s="4" t="s">
        <v>0</v>
      </c>
      <c r="J72" s="4" t="s">
        <v>1</v>
      </c>
      <c r="K72" s="4" t="s">
        <v>1</v>
      </c>
      <c r="L72" s="4" t="s">
        <v>2</v>
      </c>
      <c r="M72" s="4" t="s">
        <v>3</v>
      </c>
      <c r="N72" s="4" t="s">
        <v>4</v>
      </c>
      <c r="O72" s="4" t="s">
        <v>5</v>
      </c>
    </row>
    <row r="73" spans="1:20" ht="38.65" customHeight="1" x14ac:dyDescent="0.35">
      <c r="A73" s="14">
        <f>+MONTH(M69)</f>
        <v>8</v>
      </c>
      <c r="B73" s="14">
        <f>+DAY(M69)</f>
        <v>28</v>
      </c>
      <c r="C73" s="14">
        <f>+MONTH(L73)</f>
        <v>9</v>
      </c>
      <c r="D73" s="14">
        <f>+DAY(L73)</f>
        <v>3</v>
      </c>
      <c r="E73" s="15">
        <f>IF(A73=C73,D73-B73+1,DAY(EOMONTH(L69,0))-B73+D73+1)</f>
        <v>7</v>
      </c>
      <c r="F73" s="14" t="e">
        <f>1+#REF!</f>
        <v>#REF!</v>
      </c>
      <c r="I73" s="6"/>
      <c r="J73" s="9">
        <f>+I70+1</f>
        <v>46266</v>
      </c>
      <c r="K73" s="9">
        <f>+J73+1</f>
        <v>46267</v>
      </c>
      <c r="L73" s="9">
        <f>+K73+1</f>
        <v>46268</v>
      </c>
      <c r="M73" s="8">
        <f t="shared" ref="J73:O76" si="68">+L73+1</f>
        <v>46269</v>
      </c>
      <c r="N73" s="8">
        <f t="shared" si="68"/>
        <v>46270</v>
      </c>
      <c r="O73" s="8">
        <f t="shared" si="68"/>
        <v>46271</v>
      </c>
      <c r="Q73" s="39">
        <f>DATE($A$1,C73,D73+1)</f>
        <v>46269</v>
      </c>
      <c r="R73" s="41">
        <f>R69+1</f>
        <v>35</v>
      </c>
      <c r="S73" s="21" t="str">
        <f>IF(A73=C73,"Informe "&amp;D73-B73+1&amp;" días ( "&amp;D73-B73&amp;" reales y 1 proyectado); Reales del "&amp;B73&amp;"/"&amp;C73&amp;" al "&amp;D73-1&amp;"/"&amp;A73&amp;" ,Proyectado "&amp;D73&amp;"/"&amp;A73,"Informe "&amp;DAY(EOMONTH(M69,0))-B73+D73+1&amp;" días ( "&amp;DAY(EOMONTH(M69,0))-B73+D73&amp;" reales y 1 proyectado); Reales del "&amp;B73&amp;"/"&amp;A73&amp;" al "&amp;D73-1&amp;"/"&amp;C73&amp;" ,Proyectado "&amp;D73&amp;"/"&amp;C73)</f>
        <v>Informe 7 días ( 6 reales y 1 proyectado); Reales del 28/8 al 2/9 ,Proyectado 3/9</v>
      </c>
      <c r="T73" s="32"/>
    </row>
    <row r="74" spans="1:20" ht="38.65" customHeight="1" x14ac:dyDescent="0.35">
      <c r="A74" s="14">
        <f>+MONTH(M73)</f>
        <v>9</v>
      </c>
      <c r="B74" s="14">
        <f>+DAY(M73)</f>
        <v>4</v>
      </c>
      <c r="C74" s="14">
        <f>+MONTH(L74)</f>
        <v>9</v>
      </c>
      <c r="D74" s="14">
        <f>+DAY(L74)</f>
        <v>10</v>
      </c>
      <c r="E74" s="15">
        <f t="shared" ref="E74" si="69">IF(A74=C74,D74-B74+1,DAY(EOMONTH(J74,0))-B74+D74+1)</f>
        <v>7</v>
      </c>
      <c r="F74" s="14" t="e">
        <f t="shared" ref="F74:F76" si="70">1+F73</f>
        <v>#REF!</v>
      </c>
      <c r="I74" s="8">
        <f t="shared" ref="I74" si="71">1+O73</f>
        <v>46272</v>
      </c>
      <c r="J74" s="8">
        <f t="shared" si="68"/>
        <v>46273</v>
      </c>
      <c r="K74" s="8">
        <f t="shared" si="68"/>
        <v>46274</v>
      </c>
      <c r="L74" s="8">
        <f t="shared" si="68"/>
        <v>46275</v>
      </c>
      <c r="M74" s="9">
        <f t="shared" si="68"/>
        <v>46276</v>
      </c>
      <c r="N74" s="9">
        <f t="shared" si="68"/>
        <v>46277</v>
      </c>
      <c r="O74" s="9">
        <f t="shared" si="68"/>
        <v>46278</v>
      </c>
      <c r="Q74" s="39">
        <f t="shared" ref="Q74:Q76" si="72">DATE($A$1,C74,D74+1)</f>
        <v>46276</v>
      </c>
      <c r="R74" s="41">
        <f>R73+1</f>
        <v>36</v>
      </c>
      <c r="S74" s="21" t="str">
        <f>IF(A74=C74,"Informe "&amp;D74-B74+1&amp;" días ( "&amp;D74-B74&amp;" reales y 1 proyectado); Reales del "&amp;B74&amp;"/"&amp;C74&amp;" al "&amp;D74-1&amp;"/"&amp;A74&amp;" ,Proyectado "&amp;D74&amp;"/"&amp;A74,"Informe "&amp;DAY(EOMONTH(M73,0))-B74+D74+1&amp;" días ( "&amp;DAY(EOMONTH(M73,0))-B74+D74&amp;" reales y 1 proyectado); Reales del "&amp;B74&amp;"/"&amp;A74&amp;" al "&amp;D74-1&amp;"/"&amp;C74&amp;" ,Proyectado "&amp;D74&amp;"/"&amp;C74)</f>
        <v>Informe 7 días ( 6 reales y 1 proyectado); Reales del 4/9 al 9/9 ,Proyectado 10/9</v>
      </c>
      <c r="T74" s="32"/>
    </row>
    <row r="75" spans="1:20" ht="43.5" x14ac:dyDescent="0.35">
      <c r="A75" s="14">
        <f>+MONTH(M74)</f>
        <v>9</v>
      </c>
      <c r="B75" s="14">
        <f>+DAY(M74)</f>
        <v>11</v>
      </c>
      <c r="C75" s="14">
        <f>+MONTH(K75)</f>
        <v>9</v>
      </c>
      <c r="D75" s="14">
        <f>+DAY(K75)</f>
        <v>16</v>
      </c>
      <c r="E75" s="15">
        <f>IF(A75=C75,D75-B75+1,DAY(EOMONTH(J75,0))-B75+D75+1)</f>
        <v>6</v>
      </c>
      <c r="F75" s="14" t="e">
        <f t="shared" si="70"/>
        <v>#REF!</v>
      </c>
      <c r="I75" s="9">
        <f>1+O74</f>
        <v>46279</v>
      </c>
      <c r="J75" s="9">
        <f t="shared" si="68"/>
        <v>46280</v>
      </c>
      <c r="K75" s="9">
        <f t="shared" si="68"/>
        <v>46281</v>
      </c>
      <c r="L75" s="8">
        <f t="shared" si="68"/>
        <v>46282</v>
      </c>
      <c r="M75" s="7">
        <f t="shared" si="68"/>
        <v>46283</v>
      </c>
      <c r="N75" s="7">
        <f t="shared" si="68"/>
        <v>46284</v>
      </c>
      <c r="O75" s="8">
        <f t="shared" si="68"/>
        <v>46285</v>
      </c>
      <c r="Q75" s="39">
        <f t="shared" si="72"/>
        <v>46282</v>
      </c>
      <c r="R75" s="41">
        <f t="shared" ref="R75:R76" si="73">R74+1</f>
        <v>37</v>
      </c>
      <c r="S75" s="21" t="str">
        <f>IF(A75=C75,"Informe "&amp;D75-B75+1&amp;" días ( "&amp;D75-B75&amp;" reales y 1 proyectado); Reales del "&amp;B75&amp;"/"&amp;C75&amp;" al "&amp;D75-1&amp;"/"&amp;A75&amp;" ,Proyectado "&amp;D75&amp;"/"&amp;A75,"Informe "&amp;DAY(EOMONTH(M74,0))-B75+D75+1&amp;" días ( "&amp;DAY(EOMONTH(M74,0))-B75+D75&amp;" reales y 1 proyectado); Reales del "&amp;B75&amp;"/"&amp;A75&amp;" al "&amp;D75-1&amp;"/"&amp;C75&amp;" ,Proyectado "&amp;D75&amp;"/"&amp;C75)</f>
        <v>Informe 6 días ( 5 reales y 1 proyectado); Reales del 11/9 al 15/9 ,Proyectado 16/9</v>
      </c>
      <c r="T75" s="32" t="s">
        <v>80</v>
      </c>
    </row>
    <row r="76" spans="1:20" ht="38.65" customHeight="1" x14ac:dyDescent="0.35">
      <c r="A76" s="14">
        <f>+MONTH(L75)</f>
        <v>9</v>
      </c>
      <c r="B76" s="14">
        <f>+DAY(L75)</f>
        <v>17</v>
      </c>
      <c r="C76" s="14">
        <f>+MONTH(L76)</f>
        <v>9</v>
      </c>
      <c r="D76" s="14">
        <f>+DAY(L76)</f>
        <v>24</v>
      </c>
      <c r="E76" s="15">
        <f>IF(A76=C76,D76-B76+1,DAY(EOMONTH(L76,0))-B76+D76+1)</f>
        <v>8</v>
      </c>
      <c r="F76" s="14" t="e">
        <f t="shared" si="70"/>
        <v>#REF!</v>
      </c>
      <c r="I76" s="8">
        <f t="shared" ref="I76" si="74">1+O75</f>
        <v>46286</v>
      </c>
      <c r="J76" s="8">
        <f t="shared" si="68"/>
        <v>46287</v>
      </c>
      <c r="K76" s="8">
        <f t="shared" si="68"/>
        <v>46288</v>
      </c>
      <c r="L76" s="8">
        <f t="shared" si="68"/>
        <v>46289</v>
      </c>
      <c r="M76" s="9">
        <f>+L76+1</f>
        <v>46290</v>
      </c>
      <c r="N76" s="9">
        <f>+M76+1</f>
        <v>46291</v>
      </c>
      <c r="O76" s="9">
        <f>+N76+1</f>
        <v>46292</v>
      </c>
      <c r="Q76" s="39">
        <f t="shared" si="72"/>
        <v>46290</v>
      </c>
      <c r="R76" s="41">
        <f t="shared" si="73"/>
        <v>38</v>
      </c>
      <c r="S76" s="21" t="str">
        <f>IF(A76=C76,"Informe "&amp;D76-B76+1&amp;" días ( "&amp;D76-B76&amp;" reales y 1 proyectado); Reales del "&amp;B76&amp;"/"&amp;C76&amp;" al "&amp;D76-1&amp;"/"&amp;A76&amp;" ,Proyectado "&amp;D76&amp;"/"&amp;A76,"Informe "&amp;DAY(EOMONTH(M75,0))-B76+D76+1&amp;" días ( "&amp;DAY(EOMONTH(M75,0))-B76+D76&amp;" reales y 1 proyectado); Reales del "&amp;B76&amp;"/"&amp;A76&amp;" al "&amp;D76-1&amp;"/"&amp;C76&amp;" ,Proyectado "&amp;D76&amp;"/"&amp;C76)</f>
        <v>Informe 8 días ( 7 reales y 1 proyectado); Reales del 17/9 al 23/9 ,Proyectado 24/9</v>
      </c>
      <c r="T76" s="32"/>
    </row>
    <row r="77" spans="1:20" ht="38.65" customHeight="1" x14ac:dyDescent="0.35">
      <c r="I77" s="9">
        <f>+O76+1</f>
        <v>46293</v>
      </c>
      <c r="J77" s="9">
        <f>+I77+1</f>
        <v>46294</v>
      </c>
      <c r="K77" s="9">
        <f>+J77+1</f>
        <v>46295</v>
      </c>
      <c r="L77" s="6"/>
      <c r="M77" s="6"/>
      <c r="N77" s="6"/>
      <c r="O77" s="6"/>
      <c r="Q77" s="39"/>
      <c r="R77" s="41"/>
      <c r="S77" s="21"/>
      <c r="T77" s="32"/>
    </row>
    <row r="78" spans="1:20" x14ac:dyDescent="0.35">
      <c r="T78" s="33"/>
    </row>
    <row r="79" spans="1:20" x14ac:dyDescent="0.35">
      <c r="A79" s="14" t="s">
        <v>20</v>
      </c>
      <c r="C79" s="14" t="s">
        <v>21</v>
      </c>
      <c r="E79" s="15" t="s">
        <v>44</v>
      </c>
      <c r="I79" s="44" t="s">
        <v>15</v>
      </c>
      <c r="J79" s="44"/>
      <c r="K79" s="44"/>
      <c r="L79" s="44"/>
      <c r="M79" s="44"/>
      <c r="N79" s="44"/>
      <c r="O79" s="44"/>
      <c r="Q79" s="38" t="s">
        <v>50</v>
      </c>
      <c r="R79" s="38" t="s">
        <v>75</v>
      </c>
      <c r="S79" s="27" t="s">
        <v>46</v>
      </c>
      <c r="T79" s="27" t="s">
        <v>47</v>
      </c>
    </row>
    <row r="80" spans="1:20" x14ac:dyDescent="0.35">
      <c r="A80" s="14" t="s">
        <v>19</v>
      </c>
      <c r="B80" s="14" t="s">
        <v>18</v>
      </c>
      <c r="C80" s="14" t="s">
        <v>19</v>
      </c>
      <c r="D80" s="14" t="s">
        <v>18</v>
      </c>
      <c r="I80" s="4" t="s">
        <v>0</v>
      </c>
      <c r="J80" s="4" t="s">
        <v>1</v>
      </c>
      <c r="K80" s="4" t="s">
        <v>1</v>
      </c>
      <c r="L80" s="4" t="s">
        <v>2</v>
      </c>
      <c r="M80" s="4" t="s">
        <v>3</v>
      </c>
      <c r="N80" s="4" t="s">
        <v>4</v>
      </c>
      <c r="O80" s="4" t="s">
        <v>5</v>
      </c>
    </row>
    <row r="81" spans="1:20" ht="39.75" customHeight="1" x14ac:dyDescent="0.35">
      <c r="A81" s="14">
        <f>+MONTH(M76)</f>
        <v>9</v>
      </c>
      <c r="B81" s="14">
        <f>+DAY(M76)</f>
        <v>25</v>
      </c>
      <c r="C81" s="14">
        <f>+MONTH(L81)</f>
        <v>10</v>
      </c>
      <c r="D81" s="14">
        <f>+DAY(L81)</f>
        <v>1</v>
      </c>
      <c r="E81" s="15">
        <f>IF(A81=C81,D81-B81+1,DAY(EOMONTH(I77,0))-B81+D81+1)</f>
        <v>7</v>
      </c>
      <c r="F81" s="14" t="e">
        <f>+F76</f>
        <v>#REF!</v>
      </c>
      <c r="I81" s="6"/>
      <c r="J81" s="6"/>
      <c r="K81" s="6"/>
      <c r="L81" s="9">
        <f>+K77+1</f>
        <v>46296</v>
      </c>
      <c r="M81" s="8">
        <f t="shared" ref="M81:N81" si="75">+L81+1</f>
        <v>46297</v>
      </c>
      <c r="N81" s="8">
        <f t="shared" si="75"/>
        <v>46298</v>
      </c>
      <c r="O81" s="8">
        <f>+N81+1</f>
        <v>46299</v>
      </c>
      <c r="Q81" s="39">
        <f t="shared" ref="Q81:Q84" si="76">DATE($A$1,C81,D81+1)</f>
        <v>46297</v>
      </c>
      <c r="R81" s="41">
        <f>R76+1</f>
        <v>39</v>
      </c>
      <c r="S81" s="21" t="str">
        <f>IF(A81=C81,"Informe "&amp;D81-B81+1&amp;" días ( "&amp;D81-B81&amp;" reales y 1 proyectado); Reales del "&amp;B81&amp;"/"&amp;C81&amp;" al "&amp;D81-1&amp;"/"&amp;A81&amp;" ,Proyectado "&amp;D81&amp;"/"&amp;A81,"Informe "&amp;DAY(EOMONTH(L75,0))-B81+D81+1&amp;" días ( "&amp;DAY(EOMONTH(L75,0))-B81+D81&amp;" reales y 1 proyectado); Reales del "&amp;B81&amp;"/"&amp;A81&amp;" al 30/9 ,Proyectado "&amp;D81&amp;"/"&amp;C81)</f>
        <v>Informe 7 días ( 6 reales y 1 proyectado); Reales del 25/9 al 30/9 ,Proyectado 1/10</v>
      </c>
      <c r="T81" s="21"/>
    </row>
    <row r="82" spans="1:20" ht="39.75" customHeight="1" x14ac:dyDescent="0.35">
      <c r="A82" s="14">
        <f>+MONTH(M81)</f>
        <v>10</v>
      </c>
      <c r="B82" s="14">
        <f>+DAY(M81)</f>
        <v>2</v>
      </c>
      <c r="C82" s="14">
        <f>+MONTH(L82)</f>
        <v>10</v>
      </c>
      <c r="D82" s="14">
        <f>+DAY(L82)</f>
        <v>8</v>
      </c>
      <c r="E82" s="15">
        <f>IF(A82=C82,D82-B82+1,DAY(EOMONTH(J82,0))-B82+D82+1)</f>
        <v>7</v>
      </c>
      <c r="F82" s="14" t="e">
        <f>1+F76</f>
        <v>#REF!</v>
      </c>
      <c r="I82" s="8">
        <f>1+O81</f>
        <v>46300</v>
      </c>
      <c r="J82" s="8">
        <f t="shared" ref="J82:O85" si="77">+I82+1</f>
        <v>46301</v>
      </c>
      <c r="K82" s="8">
        <f t="shared" si="77"/>
        <v>46302</v>
      </c>
      <c r="L82" s="8">
        <f t="shared" si="77"/>
        <v>46303</v>
      </c>
      <c r="M82" s="9">
        <f t="shared" si="77"/>
        <v>46304</v>
      </c>
      <c r="N82" s="9">
        <f t="shared" si="77"/>
        <v>46305</v>
      </c>
      <c r="O82" s="9">
        <f t="shared" si="77"/>
        <v>46306</v>
      </c>
      <c r="Q82" s="39">
        <f t="shared" si="76"/>
        <v>46304</v>
      </c>
      <c r="R82" s="41">
        <f>R81+1</f>
        <v>40</v>
      </c>
      <c r="S82" s="21" t="str">
        <f>IF(A82=C82,"Informe "&amp;D82-B82+1&amp;" días ( "&amp;D82-B82&amp;" reales y 1 proyectado); Reales del "&amp;B82&amp;"/"&amp;C82&amp;" al "&amp;D82-1&amp;"/"&amp;A82&amp;" ,Proyectado "&amp;D82&amp;"/"&amp;A82,"Informe "&amp;DAY(EOMONTH(L76,0))-B82+D82+1&amp;" días ( "&amp;DAY(EOMONTH(L76,0))-B82+D82&amp;" reales y 1 proyectado); Reales del "&amp;B82&amp;"/"&amp;A82&amp;" al "&amp;D82-1&amp;"/"&amp;C82&amp;" ,Proyectado "&amp;D82&amp;"/"&amp;C82)</f>
        <v>Informe 7 días ( 6 reales y 1 proyectado); Reales del 2/10 al 7/10 ,Proyectado 8/10</v>
      </c>
      <c r="T82" s="21"/>
    </row>
    <row r="83" spans="1:20" ht="39.75" customHeight="1" x14ac:dyDescent="0.35">
      <c r="A83" s="14">
        <f>+MONTH(M82)</f>
        <v>10</v>
      </c>
      <c r="B83" s="14">
        <f>+DAY(M82)</f>
        <v>9</v>
      </c>
      <c r="C83" s="14">
        <f>+MONTH(L83)</f>
        <v>10</v>
      </c>
      <c r="D83" s="14">
        <f>+DAY(L83)</f>
        <v>15</v>
      </c>
      <c r="E83" s="15">
        <f t="shared" ref="E83:E84" si="78">IF(A83=C83,D83-B83+1,DAY(EOMONTH(J83,0))-B83+D83+1)</f>
        <v>7</v>
      </c>
      <c r="F83" s="14" t="e">
        <f t="shared" ref="F83:F85" si="79">1+F82</f>
        <v>#REF!</v>
      </c>
      <c r="I83" s="7">
        <f t="shared" ref="I83" si="80">1+O82</f>
        <v>46307</v>
      </c>
      <c r="J83" s="9">
        <f t="shared" si="77"/>
        <v>46308</v>
      </c>
      <c r="K83" s="9">
        <f t="shared" si="77"/>
        <v>46309</v>
      </c>
      <c r="L83" s="9">
        <f t="shared" si="77"/>
        <v>46310</v>
      </c>
      <c r="M83" s="8">
        <f t="shared" si="77"/>
        <v>46311</v>
      </c>
      <c r="N83" s="8">
        <f t="shared" si="77"/>
        <v>46312</v>
      </c>
      <c r="O83" s="8">
        <f t="shared" si="77"/>
        <v>46313</v>
      </c>
      <c r="Q83" s="39">
        <f t="shared" si="76"/>
        <v>46311</v>
      </c>
      <c r="R83" s="41">
        <f>R82+1</f>
        <v>41</v>
      </c>
      <c r="S83" s="21" t="str">
        <f>IF(A83=C83,"Informe "&amp;D83-B83+1&amp;" días ( "&amp;D83-B83&amp;" reales y 1 proyectado); Reales del "&amp;B83&amp;"/"&amp;C83&amp;" al "&amp;D83-1&amp;"/"&amp;A83&amp;" ,Proyectado "&amp;D83&amp;"/"&amp;A83,"Informe "&amp;DAY(EOMONTH(L75,0))-B83+D83+1&amp;" días ( "&amp;DAY(EOMONTH(L82,0))-B83+D83&amp;" reales y 1 proyectado); Reales del "&amp;B83&amp;"/"&amp;A83&amp;" al "&amp;D83-1&amp;"/"&amp;C83&amp;" ,Proyectado "&amp;D83&amp;"/"&amp;C83)</f>
        <v>Informe 7 días ( 6 reales y 1 proyectado); Reales del 9/10 al 14/10 ,Proyectado 15/10</v>
      </c>
      <c r="T83" s="21" t="s">
        <v>81</v>
      </c>
    </row>
    <row r="84" spans="1:20" ht="39.75" customHeight="1" x14ac:dyDescent="0.35">
      <c r="A84" s="14">
        <f>+MONTH(M83)</f>
        <v>10</v>
      </c>
      <c r="B84" s="14">
        <f>+DAY(M83)</f>
        <v>16</v>
      </c>
      <c r="C84" s="14">
        <f>+MONTH(L84)</f>
        <v>10</v>
      </c>
      <c r="D84" s="14">
        <f>+DAY(L84)</f>
        <v>22</v>
      </c>
      <c r="E84" s="15">
        <f t="shared" si="78"/>
        <v>7</v>
      </c>
      <c r="F84" s="14" t="e">
        <f t="shared" si="79"/>
        <v>#REF!</v>
      </c>
      <c r="I84" s="8">
        <f>1+O83</f>
        <v>46314</v>
      </c>
      <c r="J84" s="8">
        <f t="shared" si="77"/>
        <v>46315</v>
      </c>
      <c r="K84" s="8">
        <f t="shared" si="77"/>
        <v>46316</v>
      </c>
      <c r="L84" s="8">
        <f t="shared" si="77"/>
        <v>46317</v>
      </c>
      <c r="M84" s="9">
        <f>+L84+1</f>
        <v>46318</v>
      </c>
      <c r="N84" s="9">
        <f t="shared" si="77"/>
        <v>46319</v>
      </c>
      <c r="O84" s="9">
        <f t="shared" si="77"/>
        <v>46320</v>
      </c>
      <c r="Q84" s="39">
        <f t="shared" si="76"/>
        <v>46318</v>
      </c>
      <c r="R84" s="41">
        <f t="shared" ref="R84:R85" si="81">R83+1</f>
        <v>42</v>
      </c>
      <c r="S84" s="21" t="str">
        <f>IF(A84=C84,"Informe "&amp;D84-B84+1&amp;" días ( "&amp;D84-B84&amp;" reales y 1 proyectado); Reales del "&amp;B84&amp;"/"&amp;C84&amp;" al "&amp;D84-1&amp;"/"&amp;A84&amp;" ,Proyectado "&amp;D84&amp;"/"&amp;A84,"Informe "&amp;DAY(EOMONTH(L76,0))-B84+D84+1&amp;" días ( "&amp;DAY(EOMONTH(L83,0))-B84+D84&amp;" reales y 1 proyectado); Reales del "&amp;B84&amp;"/"&amp;A84&amp;" al "&amp;D84-1&amp;"/"&amp;C84&amp;" ,Proyectado "&amp;D84&amp;"/"&amp;C84)</f>
        <v>Informe 7 días ( 6 reales y 1 proyectado); Reales del 16/10 al 21/10 ,Proyectado 22/10</v>
      </c>
      <c r="T84" s="21"/>
    </row>
    <row r="85" spans="1:20" ht="39.75" customHeight="1" x14ac:dyDescent="0.35">
      <c r="A85" s="14">
        <f>+MONTH(M84)</f>
        <v>10</v>
      </c>
      <c r="B85" s="14">
        <f>+DAY(M84)</f>
        <v>23</v>
      </c>
      <c r="C85" s="14">
        <f>+MONTH(L85)</f>
        <v>10</v>
      </c>
      <c r="D85" s="14">
        <f>+DAY(L85)</f>
        <v>29</v>
      </c>
      <c r="E85" s="15">
        <f t="shared" ref="E85" si="82">IF(A85=C85,D85-B85+1,DAY(EOMONTH(J85,0))-B85+D85+1)</f>
        <v>7</v>
      </c>
      <c r="F85" s="14" t="e">
        <f t="shared" si="79"/>
        <v>#REF!</v>
      </c>
      <c r="I85" s="9">
        <f t="shared" ref="I85" si="83">1+O84</f>
        <v>46321</v>
      </c>
      <c r="J85" s="9">
        <f t="shared" si="77"/>
        <v>46322</v>
      </c>
      <c r="K85" s="9">
        <f t="shared" si="77"/>
        <v>46323</v>
      </c>
      <c r="L85" s="9">
        <f t="shared" si="77"/>
        <v>46324</v>
      </c>
      <c r="M85" s="8">
        <f>+L85+1</f>
        <v>46325</v>
      </c>
      <c r="N85" s="7">
        <f>+M85+1</f>
        <v>46326</v>
      </c>
      <c r="O85" s="6"/>
      <c r="Q85" s="39">
        <f>DATE($A$1,C85,D85+1)</f>
        <v>46325</v>
      </c>
      <c r="R85" s="41">
        <f t="shared" si="81"/>
        <v>43</v>
      </c>
      <c r="S85" s="21" t="str">
        <f>IF(A85=C85,"Informe "&amp;D85-B85+1&amp;" días ( "&amp;D85-B85&amp;" reales y 1 proyectado); Reales del "&amp;B85&amp;"/"&amp;C85&amp;" al "&amp;D85-1&amp;"/"&amp;A85&amp;" ,Proyectado "&amp;D85&amp;"/"&amp;A85,"Informe "&amp;DAY(EOMONTH(L84,0))-B85+D85+1&amp;" días ( "&amp;DAY(EOMONTH(L84,0))-B85+D85&amp;" reales y 1 proyectado); Reales del "&amp;B85&amp;"/"&amp;A85&amp;" al "&amp;D85-1&amp;"/"&amp;C85&amp;" ,Proyectado "&amp;D85&amp;"/"&amp;C85)</f>
        <v>Informe 7 días ( 6 reales y 1 proyectado); Reales del 23/10 al 28/10 ,Proyectado 29/10</v>
      </c>
      <c r="T85" s="21" t="s">
        <v>82</v>
      </c>
    </row>
    <row r="86" spans="1:20" x14ac:dyDescent="0.35">
      <c r="T86" s="33"/>
    </row>
    <row r="87" spans="1:20" x14ac:dyDescent="0.35">
      <c r="A87" s="14" t="s">
        <v>20</v>
      </c>
      <c r="C87" s="14" t="s">
        <v>21</v>
      </c>
      <c r="E87" s="15" t="s">
        <v>44</v>
      </c>
      <c r="I87" s="44" t="s">
        <v>16</v>
      </c>
      <c r="J87" s="44"/>
      <c r="K87" s="44"/>
      <c r="L87" s="44"/>
      <c r="M87" s="44"/>
      <c r="N87" s="44"/>
      <c r="O87" s="44"/>
      <c r="Q87" s="38" t="s">
        <v>50</v>
      </c>
      <c r="R87" s="38" t="s">
        <v>75</v>
      </c>
      <c r="S87" s="27" t="s">
        <v>46</v>
      </c>
      <c r="T87" s="27" t="s">
        <v>47</v>
      </c>
    </row>
    <row r="88" spans="1:20" x14ac:dyDescent="0.35">
      <c r="A88" s="14" t="s">
        <v>19</v>
      </c>
      <c r="B88" s="14" t="s">
        <v>18</v>
      </c>
      <c r="C88" s="14" t="s">
        <v>19</v>
      </c>
      <c r="D88" s="14" t="s">
        <v>18</v>
      </c>
      <c r="I88" s="4" t="s">
        <v>0</v>
      </c>
      <c r="J88" s="4" t="s">
        <v>1</v>
      </c>
      <c r="K88" s="4" t="s">
        <v>1</v>
      </c>
      <c r="L88" s="4" t="s">
        <v>2</v>
      </c>
      <c r="M88" s="4" t="s">
        <v>3</v>
      </c>
      <c r="N88" s="4" t="s">
        <v>4</v>
      </c>
      <c r="O88" s="4" t="s">
        <v>5</v>
      </c>
    </row>
    <row r="89" spans="1:20" ht="39.75" customHeight="1" x14ac:dyDescent="0.35">
      <c r="F89" s="14" t="e">
        <f>1+F85</f>
        <v>#REF!</v>
      </c>
      <c r="I89" s="6"/>
      <c r="J89" s="6"/>
      <c r="K89" s="6"/>
      <c r="L89" s="6"/>
      <c r="M89" s="6"/>
      <c r="N89" s="6"/>
      <c r="O89" s="7">
        <f>+N85+1</f>
        <v>46327</v>
      </c>
      <c r="Q89" s="39"/>
      <c r="R89" s="41"/>
      <c r="S89" s="21"/>
      <c r="T89" s="21" t="s">
        <v>84</v>
      </c>
    </row>
    <row r="90" spans="1:20" ht="39.75" customHeight="1" x14ac:dyDescent="0.35">
      <c r="A90" s="14">
        <f>+MONTH(M85)</f>
        <v>10</v>
      </c>
      <c r="B90" s="14">
        <f>+DAY(M85)</f>
        <v>30</v>
      </c>
      <c r="C90" s="14">
        <f>+MONTH(L90)</f>
        <v>11</v>
      </c>
      <c r="D90" s="14">
        <f>+DAY(L90)</f>
        <v>5</v>
      </c>
      <c r="E90" s="15">
        <f>IF(A90=C90,D90-B90+1,DAY(EOMONTH(J85,0))-B90+D90+1)</f>
        <v>7</v>
      </c>
      <c r="F90" s="14" t="e">
        <f t="shared" ref="F90:F94" si="84">1+F89</f>
        <v>#REF!</v>
      </c>
      <c r="I90" s="8">
        <f t="shared" ref="I90" si="85">1+O89</f>
        <v>46328</v>
      </c>
      <c r="J90" s="8">
        <f t="shared" ref="J90:O93" si="86">+I90+1</f>
        <v>46329</v>
      </c>
      <c r="K90" s="8">
        <f t="shared" si="86"/>
        <v>46330</v>
      </c>
      <c r="L90" s="8">
        <f t="shared" si="86"/>
        <v>46331</v>
      </c>
      <c r="M90" s="9">
        <f t="shared" si="86"/>
        <v>46332</v>
      </c>
      <c r="N90" s="9">
        <f t="shared" si="86"/>
        <v>46333</v>
      </c>
      <c r="O90" s="9">
        <f t="shared" si="86"/>
        <v>46334</v>
      </c>
      <c r="Q90" s="39">
        <f>DATE($A$1,C90,D90+1)</f>
        <v>46332</v>
      </c>
      <c r="R90" s="41">
        <f>R85+1</f>
        <v>44</v>
      </c>
      <c r="S90" s="21" t="str">
        <f>IF(A90=C90,"Informe "&amp;D90-B90+1&amp;" días ( "&amp;D90-B90&amp;" reales y 1 proyectado); Reales del "&amp;B90&amp;"/"&amp;C90&amp;" al "&amp;D90-1&amp;"/"&amp;A90&amp;" ,Proyectado "&amp;D90&amp;"/"&amp;A90,"Informe "&amp;DAY(EOMONTH(M85,0))-B90+D90+1&amp;" días ( "&amp;DAY(EOMONTH(M85,0))-B90+D90&amp;" reales y 1 proyectado); Reales del "&amp;B90&amp;"/"&amp;A90&amp;" al "&amp;D90-1&amp;"/"&amp;C90&amp;" ,Proyectado "&amp;D90&amp;"/"&amp;C90)</f>
        <v>Informe 7 días ( 6 reales y 1 proyectado); Reales del 30/10 al 4/11 ,Proyectado 5/11</v>
      </c>
      <c r="T90" s="21"/>
    </row>
    <row r="91" spans="1:20" ht="39.75" customHeight="1" x14ac:dyDescent="0.35">
      <c r="A91" s="14">
        <f>+MONTH(M90)</f>
        <v>11</v>
      </c>
      <c r="B91" s="14">
        <f>+DAY(M90)</f>
        <v>6</v>
      </c>
      <c r="C91" s="14">
        <f>+MONTH(L91)</f>
        <v>11</v>
      </c>
      <c r="D91" s="14">
        <f>+DAY(L91)</f>
        <v>12</v>
      </c>
      <c r="E91" s="15">
        <f t="shared" ref="E91:E92" si="87">IF(A91=C91,D91-B91+1,DAY(EOMONTH(J91,0))-B91+D91+1)</f>
        <v>7</v>
      </c>
      <c r="F91" s="14" t="e">
        <f t="shared" si="84"/>
        <v>#REF!</v>
      </c>
      <c r="I91" s="9">
        <f>1+O90</f>
        <v>46335</v>
      </c>
      <c r="J91" s="9">
        <f t="shared" si="86"/>
        <v>46336</v>
      </c>
      <c r="K91" s="9">
        <f t="shared" si="86"/>
        <v>46337</v>
      </c>
      <c r="L91" s="9">
        <f t="shared" si="86"/>
        <v>46338</v>
      </c>
      <c r="M91" s="8">
        <f t="shared" si="86"/>
        <v>46339</v>
      </c>
      <c r="N91" s="8">
        <f t="shared" si="86"/>
        <v>46340</v>
      </c>
      <c r="O91" s="8">
        <f t="shared" si="86"/>
        <v>46341</v>
      </c>
      <c r="Q91" s="39">
        <f t="shared" ref="Q91:Q92" si="88">DATE($A$1,C91,D91+1)</f>
        <v>46339</v>
      </c>
      <c r="R91" s="41">
        <f>R90+1</f>
        <v>45</v>
      </c>
      <c r="S91" s="21" t="str">
        <f>IF(A91=C91,"Informe "&amp;D91-B91+1&amp;" días ( "&amp;D91-B91&amp;" reales y 1 proyectado); Reales del "&amp;B91&amp;"/"&amp;C91&amp;" al "&amp;D91-1&amp;"/"&amp;A91&amp;" ,Proyectado "&amp;D91&amp;"/"&amp;A91,"Informe "&amp;DAY(EOMONTH(M89,0))-B91+D91+1&amp;" días ( "&amp;DAY(EOMONTH(M89,0))-B91+D91&amp;" reales y 1 proyectado); Reales del "&amp;B91&amp;"/"&amp;A91&amp;" al "&amp;D91-1&amp;"/"&amp;C91&amp;" ,Proyectado "&amp;D91&amp;"/"&amp;C91)</f>
        <v>Informe 7 días ( 6 reales y 1 proyectado); Reales del 6/11 al 11/11 ,Proyectado 12/11</v>
      </c>
      <c r="T91" s="21"/>
    </row>
    <row r="92" spans="1:20" ht="39.75" customHeight="1" x14ac:dyDescent="0.35">
      <c r="A92" s="14">
        <f>+MONTH(M91)</f>
        <v>11</v>
      </c>
      <c r="B92" s="14">
        <f>+DAY(M91)</f>
        <v>13</v>
      </c>
      <c r="C92" s="14">
        <f>+MONTH(L92)</f>
        <v>11</v>
      </c>
      <c r="D92" s="14">
        <f>+DAY(L92)</f>
        <v>19</v>
      </c>
      <c r="E92" s="15">
        <f t="shared" si="87"/>
        <v>7</v>
      </c>
      <c r="F92" s="14" t="e">
        <f t="shared" si="84"/>
        <v>#REF!</v>
      </c>
      <c r="I92" s="8">
        <f>1+O91</f>
        <v>46342</v>
      </c>
      <c r="J92" s="8">
        <f t="shared" si="86"/>
        <v>46343</v>
      </c>
      <c r="K92" s="8">
        <f t="shared" si="86"/>
        <v>46344</v>
      </c>
      <c r="L92" s="8">
        <f t="shared" si="86"/>
        <v>46345</v>
      </c>
      <c r="M92" s="9">
        <f t="shared" si="86"/>
        <v>46346</v>
      </c>
      <c r="N92" s="9">
        <f t="shared" si="86"/>
        <v>46347</v>
      </c>
      <c r="O92" s="9">
        <f>+N92+1</f>
        <v>46348</v>
      </c>
      <c r="Q92" s="39">
        <f t="shared" si="88"/>
        <v>46346</v>
      </c>
      <c r="R92" s="41">
        <f>R91+1</f>
        <v>46</v>
      </c>
      <c r="S92" s="21" t="str">
        <f>IF(A92=C92,"Informe "&amp;D92-B92+1&amp;" días ( "&amp;D92-B92&amp;" reales y 1 proyectado); Reales del "&amp;B92&amp;"/"&amp;C92&amp;" al "&amp;D92-1&amp;"/"&amp;A92&amp;" ,Proyectado "&amp;D92&amp;"/"&amp;A92,"Informe "&amp;DAY(EOMONTH(M90,0))-B92+D92+1&amp;" días ( "&amp;DAY(EOMONTH(M90,0))-B92+D92&amp;" reales y 1 proyectado); Reales del "&amp;B92&amp;"/"&amp;A92&amp;" al "&amp;D92-1&amp;"/"&amp;C92&amp;" ,Proyectado "&amp;D92&amp;"/"&amp;C92)</f>
        <v>Informe 7 días ( 6 reales y 1 proyectado); Reales del 13/11 al 18/11 ,Proyectado 19/11</v>
      </c>
      <c r="T92" s="21"/>
    </row>
    <row r="93" spans="1:20" ht="39.75" customHeight="1" x14ac:dyDescent="0.35">
      <c r="A93" s="14">
        <f>+MONTH(M92)</f>
        <v>11</v>
      </c>
      <c r="B93" s="14">
        <f>+DAY(M92)</f>
        <v>20</v>
      </c>
      <c r="C93" s="14">
        <f>+MONTH(L93)</f>
        <v>11</v>
      </c>
      <c r="D93" s="14">
        <f>+DAY(L93)</f>
        <v>26</v>
      </c>
      <c r="E93" s="15">
        <f t="shared" ref="E93" si="89">IF(A93=C93,D93-B93+1,DAY(EOMONTH(J93,0))-B93+D93+1)</f>
        <v>7</v>
      </c>
      <c r="F93" s="14" t="e">
        <f t="shared" si="84"/>
        <v>#REF!</v>
      </c>
      <c r="I93" s="9">
        <f>1+O92</f>
        <v>46349</v>
      </c>
      <c r="J93" s="9">
        <f t="shared" si="86"/>
        <v>46350</v>
      </c>
      <c r="K93" s="9">
        <f t="shared" si="86"/>
        <v>46351</v>
      </c>
      <c r="L93" s="9">
        <f t="shared" si="86"/>
        <v>46352</v>
      </c>
      <c r="M93" s="8">
        <f t="shared" ref="M93" si="90">+L93+1</f>
        <v>46353</v>
      </c>
      <c r="N93" s="8">
        <f t="shared" ref="N93:O93" si="91">+M93+1</f>
        <v>46354</v>
      </c>
      <c r="O93" s="8">
        <f t="shared" si="91"/>
        <v>46355</v>
      </c>
      <c r="Q93" s="39">
        <f>DATE($A$1,C93,D93+1)</f>
        <v>46353</v>
      </c>
      <c r="R93" s="41">
        <f>R92+1</f>
        <v>47</v>
      </c>
      <c r="S93" s="21" t="str">
        <f>IF(A93=C93,"Informe "&amp;D93-B93+1&amp;" días ( "&amp;D93-B93&amp;" reales y 1 proyectado); Reales del "&amp;B93&amp;"/"&amp;C93&amp;" al "&amp;D93-1&amp;"/"&amp;A93&amp;" ,Proyectado "&amp;D93&amp;"/"&amp;A93,"Informe "&amp;DAY(EOMONTH(M91,0))-B93+D93+1&amp;" días ( "&amp;DAY(EOMONTH(M91,0))-B93+D93&amp;" reales y 1 proyectado); Reales del "&amp;B93&amp;"/"&amp;A93&amp;" al "&amp;D93-1&amp;"/"&amp;C93&amp;" ,Proyectado "&amp;D93&amp;"/"&amp;C93)</f>
        <v>Informe 7 días ( 6 reales y 1 proyectado); Reales del 20/11 al 25/11 ,Proyectado 26/11</v>
      </c>
      <c r="T93" s="21"/>
    </row>
    <row r="94" spans="1:20" ht="39.75" customHeight="1" x14ac:dyDescent="0.35">
      <c r="E94" s="15">
        <f t="shared" ref="E94" si="92">IF(A94=C94,D94-B94+1,DAY(EOMONTH(J94,0))-B94+D94+1)</f>
        <v>1</v>
      </c>
      <c r="F94" s="14" t="e">
        <f t="shared" si="84"/>
        <v>#REF!</v>
      </c>
      <c r="I94" s="8">
        <f>1+O93</f>
        <v>46356</v>
      </c>
      <c r="J94" s="6"/>
      <c r="K94" s="6"/>
      <c r="L94" s="6"/>
      <c r="M94" s="6"/>
      <c r="N94" s="6"/>
      <c r="O94" s="6"/>
      <c r="Q94" s="39"/>
      <c r="R94" s="41"/>
      <c r="S94" s="21"/>
      <c r="T94" s="21"/>
    </row>
    <row r="95" spans="1:20" x14ac:dyDescent="0.35">
      <c r="A95" s="14" t="s">
        <v>20</v>
      </c>
      <c r="C95" s="14" t="s">
        <v>21</v>
      </c>
      <c r="E95" s="15" t="s">
        <v>44</v>
      </c>
      <c r="I95" s="44" t="s">
        <v>17</v>
      </c>
      <c r="J95" s="44"/>
      <c r="K95" s="44"/>
      <c r="L95" s="44"/>
      <c r="M95" s="44"/>
      <c r="N95" s="44"/>
      <c r="O95" s="44"/>
      <c r="Q95" s="38" t="s">
        <v>50</v>
      </c>
      <c r="R95" s="38" t="s">
        <v>75</v>
      </c>
      <c r="S95" s="27" t="s">
        <v>46</v>
      </c>
      <c r="T95" s="27" t="s">
        <v>47</v>
      </c>
    </row>
    <row r="96" spans="1:20" x14ac:dyDescent="0.35">
      <c r="A96" s="14" t="s">
        <v>19</v>
      </c>
      <c r="B96" s="14" t="s">
        <v>18</v>
      </c>
      <c r="C96" s="14" t="s">
        <v>19</v>
      </c>
      <c r="D96" s="14" t="s">
        <v>18</v>
      </c>
      <c r="I96" s="4" t="s">
        <v>0</v>
      </c>
      <c r="J96" s="4" t="s">
        <v>1</v>
      </c>
      <c r="K96" s="4" t="s">
        <v>1</v>
      </c>
      <c r="L96" s="4" t="s">
        <v>2</v>
      </c>
      <c r="M96" s="4" t="s">
        <v>3</v>
      </c>
      <c r="N96" s="4" t="s">
        <v>4</v>
      </c>
      <c r="O96" s="4" t="s">
        <v>5</v>
      </c>
    </row>
    <row r="97" spans="1:20" ht="38.65" customHeight="1" x14ac:dyDescent="0.35">
      <c r="A97" s="14">
        <f>+MONTH(M93)</f>
        <v>11</v>
      </c>
      <c r="B97" s="14">
        <f>+DAY(M93)</f>
        <v>27</v>
      </c>
      <c r="C97" s="14">
        <f>+MONTH(L97)</f>
        <v>12</v>
      </c>
      <c r="D97" s="14">
        <f>+DAY(L97)</f>
        <v>3</v>
      </c>
      <c r="E97" s="15">
        <f>IF(A97=C97,D97-B97+1,DAY(EOMONTH(J93,0))-B97+D97+1)</f>
        <v>7</v>
      </c>
      <c r="F97" s="14" t="e">
        <f>1+#REF!</f>
        <v>#REF!</v>
      </c>
      <c r="I97" s="6"/>
      <c r="J97" s="8">
        <f>+I94+1</f>
        <v>46357</v>
      </c>
      <c r="K97" s="8">
        <f t="shared" ref="J97:O100" si="93">+J97+1</f>
        <v>46358</v>
      </c>
      <c r="L97" s="8">
        <f t="shared" si="93"/>
        <v>46359</v>
      </c>
      <c r="M97" s="9">
        <f t="shared" si="93"/>
        <v>46360</v>
      </c>
      <c r="N97" s="9">
        <f t="shared" si="93"/>
        <v>46361</v>
      </c>
      <c r="O97" s="9">
        <f t="shared" si="93"/>
        <v>46362</v>
      </c>
      <c r="Q97" s="39">
        <f t="shared" ref="Q97:Q101" si="94">DATE($A$1,C97,D97+1)</f>
        <v>46360</v>
      </c>
      <c r="R97" s="41">
        <f>R93+1</f>
        <v>48</v>
      </c>
      <c r="S97" s="21" t="str">
        <f>IF(A97=C97,"Informe "&amp;6&amp;" días ( "&amp;5&amp;" reales y 1 proyectado); Reales del "&amp;B97&amp;"/"&amp;C97&amp;" al "&amp;5&amp;"/"&amp;A97&amp;" ,Proyectado "&amp;6&amp;"/"&amp;A97,"Informe "&amp;DAY(EOMONTH(M92,0))-B97+D97+1&amp;" días ( "&amp;DAY(EOMONTH(M92,0))-B97+D97&amp;" reales y 1 proyectado); Reales del "&amp;B97&amp;"/"&amp;A97&amp;" al "&amp;D97-1&amp;"/"&amp;C97&amp;" ,Proyectado "&amp;D97&amp;"/"&amp;C97)</f>
        <v>Informe 7 días ( 6 reales y 1 proyectado); Reales del 27/11 al 2/12 ,Proyectado 3/12</v>
      </c>
      <c r="T97" s="21"/>
    </row>
    <row r="98" spans="1:20" ht="38.65" customHeight="1" x14ac:dyDescent="0.35">
      <c r="A98" s="14">
        <f>+MONTH(M97)</f>
        <v>12</v>
      </c>
      <c r="B98" s="14">
        <f>+DAY(M97)</f>
        <v>4</v>
      </c>
      <c r="C98" s="14">
        <f>+MONTH(L98)</f>
        <v>12</v>
      </c>
      <c r="D98" s="14">
        <f>+DAY(L98)</f>
        <v>10</v>
      </c>
      <c r="E98" s="15">
        <f>IF(A98=C98,D98-B98+1,DAY(EOMONTH(J98,0))-B98+D98+1)</f>
        <v>7</v>
      </c>
      <c r="F98" s="14" t="e">
        <f t="shared" ref="F98:F100" si="95">1+F97</f>
        <v>#REF!</v>
      </c>
      <c r="I98" s="7">
        <f>1+O97</f>
        <v>46363</v>
      </c>
      <c r="J98" s="7">
        <f t="shared" si="93"/>
        <v>46364</v>
      </c>
      <c r="K98" s="9">
        <f t="shared" si="93"/>
        <v>46365</v>
      </c>
      <c r="L98" s="9">
        <f t="shared" si="93"/>
        <v>46366</v>
      </c>
      <c r="M98" s="8">
        <f t="shared" si="93"/>
        <v>46367</v>
      </c>
      <c r="N98" s="8">
        <f t="shared" si="93"/>
        <v>46368</v>
      </c>
      <c r="O98" s="8">
        <f t="shared" si="93"/>
        <v>46369</v>
      </c>
      <c r="Q98" s="39">
        <f t="shared" si="94"/>
        <v>46367</v>
      </c>
      <c r="R98" s="41">
        <f t="shared" ref="R98:R101" si="96">R97+1</f>
        <v>49</v>
      </c>
      <c r="S98" s="21" t="str">
        <f>IF(A98=C98,"Informe "&amp;D98-B98+1&amp;" días ( "&amp;D98-B98&amp;" reales y 1 proyectado); Reales del "&amp;B98&amp;"/"&amp;C98&amp;" al "&amp;D98-1&amp;"/"&amp;A98&amp;" ,Proyectado "&amp;D98&amp;"/"&amp;A98,"Informe "&amp;DAY(EOMONTH(M97,0))-B98+D98+1&amp;" días ( "&amp;DAY(EOMONTH(M97,0))-B98+D98&amp;" reales y 1 proyectado); Reales del "&amp;B98&amp;"/"&amp;A98&amp;" al "&amp;D98-1&amp;"/"&amp;C98&amp;" ,Proyectado "&amp;D98&amp;"/"&amp;C98)</f>
        <v>Informe 7 días ( 6 reales y 1 proyectado); Reales del 4/12 al 9/12 ,Proyectado 10/12</v>
      </c>
      <c r="T98" s="21" t="s">
        <v>91</v>
      </c>
    </row>
    <row r="99" spans="1:20" ht="38.65" customHeight="1" x14ac:dyDescent="0.35">
      <c r="A99" s="14">
        <f>+MONTH(M98)</f>
        <v>12</v>
      </c>
      <c r="B99" s="14">
        <f>+DAY(M98)</f>
        <v>11</v>
      </c>
      <c r="C99" s="14">
        <f>+MONTH(L99)</f>
        <v>12</v>
      </c>
      <c r="D99" s="14">
        <f>+DAY(L99)</f>
        <v>17</v>
      </c>
      <c r="E99" s="15">
        <f t="shared" ref="E99:E100" si="97">IF(A99=C99,D99-B99+1,DAY(EOMONTH(J99,0))-B99+D99+1)</f>
        <v>7</v>
      </c>
      <c r="F99" s="14" t="e">
        <f t="shared" si="95"/>
        <v>#REF!</v>
      </c>
      <c r="I99" s="8">
        <f t="shared" ref="I99" si="98">1+O98</f>
        <v>46370</v>
      </c>
      <c r="J99" s="8">
        <f t="shared" si="93"/>
        <v>46371</v>
      </c>
      <c r="K99" s="8">
        <f t="shared" si="93"/>
        <v>46372</v>
      </c>
      <c r="L99" s="8">
        <f t="shared" si="93"/>
        <v>46373</v>
      </c>
      <c r="M99" s="9">
        <f t="shared" si="93"/>
        <v>46374</v>
      </c>
      <c r="N99" s="9">
        <f t="shared" si="93"/>
        <v>46375</v>
      </c>
      <c r="O99" s="9">
        <f t="shared" si="93"/>
        <v>46376</v>
      </c>
      <c r="Q99" s="39">
        <f t="shared" si="94"/>
        <v>46374</v>
      </c>
      <c r="R99" s="41">
        <f t="shared" si="96"/>
        <v>50</v>
      </c>
      <c r="S99" s="21" t="str">
        <f>IF(A99=C99,"Informe "&amp;D99-B99+1&amp;" días ( "&amp;D99-B99&amp;" reales y 1 proyectado); Reales del "&amp;B99&amp;"/"&amp;C99&amp;" al "&amp;D99-1&amp;"/"&amp;A99&amp;" ,Proyectado "&amp;D99&amp;"/"&amp;A99,"Informe "&amp;DAY(EOMONTH(M98,0))-B99+D99+1&amp;" días ( "&amp;DAY(EOMONTH(M98,0))-B99+D99&amp;" reales y 1 proyectado); Reales del "&amp;B99&amp;"/"&amp;A99&amp;" al "&amp;D99-1&amp;"/"&amp;C99&amp;" ,Proyectado "&amp;D99&amp;"/"&amp;C99)</f>
        <v>Informe 7 días ( 6 reales y 1 proyectado); Reales del 11/12 al 16/12 ,Proyectado 17/12</v>
      </c>
      <c r="T99" s="21"/>
    </row>
    <row r="100" spans="1:20" ht="38.65" customHeight="1" x14ac:dyDescent="0.35">
      <c r="A100" s="14">
        <f>+MONTH(M99)</f>
        <v>12</v>
      </c>
      <c r="B100" s="14">
        <f>+DAY(M99)</f>
        <v>18</v>
      </c>
      <c r="C100" s="14">
        <f>+MONTH(K100)</f>
        <v>12</v>
      </c>
      <c r="D100" s="14">
        <f>+DAY(K100)</f>
        <v>23</v>
      </c>
      <c r="E100" s="15">
        <f t="shared" si="97"/>
        <v>6</v>
      </c>
      <c r="F100" s="14" t="e">
        <f t="shared" si="95"/>
        <v>#REF!</v>
      </c>
      <c r="I100" s="9">
        <f>1+O99</f>
        <v>46377</v>
      </c>
      <c r="J100" s="9">
        <f t="shared" si="93"/>
        <v>46378</v>
      </c>
      <c r="K100" s="9">
        <f t="shared" si="93"/>
        <v>46379</v>
      </c>
      <c r="L100" s="8">
        <f t="shared" si="93"/>
        <v>46380</v>
      </c>
      <c r="M100" s="7">
        <f>1+L100</f>
        <v>46381</v>
      </c>
      <c r="N100" s="8">
        <f>1+M100</f>
        <v>46382</v>
      </c>
      <c r="O100" s="8">
        <f>1+N100</f>
        <v>46383</v>
      </c>
      <c r="Q100" s="39">
        <f t="shared" si="94"/>
        <v>46380</v>
      </c>
      <c r="R100" s="41">
        <f t="shared" si="96"/>
        <v>51</v>
      </c>
      <c r="S100" s="21" t="str">
        <f>IF(A100=C100,"Informe "&amp;D100-B100+1&amp;" días ( "&amp;D100-B100&amp;" reales y 1 proyectado); Reales del "&amp;B100&amp;"/"&amp;C100&amp;" al "&amp;D100-1&amp;"/"&amp;A100&amp;" ,Proyectado "&amp;D100&amp;"/"&amp;A100,"Informe "&amp;DAY(EOMONTH(M99,0))-B100+D100+1&amp;" días ( "&amp;DAY(EOMONTH(M99,0))-B100+D100&amp;" reales y 1 proyectado); Reales del "&amp;B100&amp;"/"&amp;A100&amp;" al "&amp;D100-1&amp;"/"&amp;C100&amp;" ,Proyectado "&amp;D100&amp;"/"&amp;C100)</f>
        <v>Informe 6 días ( 5 reales y 1 proyectado); Reales del 18/12 al 22/12 ,Proyectado 23/12</v>
      </c>
      <c r="T100" s="21" t="s">
        <v>83</v>
      </c>
    </row>
    <row r="101" spans="1:20" ht="38.65" customHeight="1" x14ac:dyDescent="0.35">
      <c r="A101" s="14">
        <f>+MONTH(L100)</f>
        <v>12</v>
      </c>
      <c r="B101" s="14">
        <f>+DAY(L100)</f>
        <v>24</v>
      </c>
      <c r="C101" s="14">
        <f>+MONTH(K101)</f>
        <v>12</v>
      </c>
      <c r="D101" s="14">
        <f>+DAY(K101)</f>
        <v>30</v>
      </c>
      <c r="I101" s="8">
        <f t="shared" ref="I101" si="99">1+O100</f>
        <v>46384</v>
      </c>
      <c r="J101" s="8">
        <f t="shared" ref="J101" si="100">+I101+1</f>
        <v>46385</v>
      </c>
      <c r="K101" s="8">
        <f>+J101+1</f>
        <v>46386</v>
      </c>
      <c r="L101" s="9">
        <f>+K101+1</f>
        <v>46387</v>
      </c>
      <c r="M101" s="7">
        <f>L101+1</f>
        <v>46388</v>
      </c>
      <c r="N101" s="6"/>
      <c r="O101" s="6"/>
      <c r="Q101" s="39">
        <f t="shared" si="94"/>
        <v>46387</v>
      </c>
      <c r="R101" s="41">
        <f t="shared" si="96"/>
        <v>52</v>
      </c>
      <c r="S101" s="21" t="str">
        <f>IF(A101=C101,"Informe "&amp;D101-B101+1&amp;" días ( "&amp;D101-B101&amp;" reales y 1 proyectado); Reales del "&amp;B101&amp;"/"&amp;C101&amp;" al "&amp;D101-1&amp;"/"&amp;A101&amp;" ,Proyectado "&amp;D101&amp;"/"&amp;A101,"Informe "&amp;DAY(EOMONTH(M100,0))-B101+D101+1&amp;" días ( "&amp;DAY(EOMONTH(M100,0))-B101+D101&amp;" reales y 1 proyectado); Reales del "&amp;B101&amp;"/"&amp;A101&amp;" al "&amp;D101-1&amp;"/"&amp;C101&amp;" ,Proyectado "&amp;D101&amp;"/"&amp;C101)</f>
        <v>Informe 7 días ( 6 reales y 1 proyectado); Reales del 24/12 al 29/12 ,Proyectado 30/12</v>
      </c>
      <c r="T101" s="21" t="s">
        <v>88</v>
      </c>
    </row>
    <row r="102" spans="1:20" x14ac:dyDescent="0.35">
      <c r="T102" s="33"/>
    </row>
    <row r="103" spans="1:20" x14ac:dyDescent="0.35">
      <c r="T103" s="33"/>
    </row>
    <row r="104" spans="1:20" x14ac:dyDescent="0.35">
      <c r="T104" s="33"/>
    </row>
    <row r="105" spans="1:20" x14ac:dyDescent="0.35">
      <c r="T105" s="33"/>
    </row>
    <row r="106" spans="1:20" x14ac:dyDescent="0.35">
      <c r="T106" s="33"/>
    </row>
    <row r="107" spans="1:20" x14ac:dyDescent="0.35">
      <c r="T107" s="33"/>
    </row>
    <row r="108" spans="1:20" x14ac:dyDescent="0.35">
      <c r="T108" s="33"/>
    </row>
    <row r="109" spans="1:20" x14ac:dyDescent="0.35">
      <c r="T109" s="33"/>
    </row>
    <row r="110" spans="1:20" x14ac:dyDescent="0.35">
      <c r="T110" s="33"/>
    </row>
    <row r="111" spans="1:20" x14ac:dyDescent="0.35">
      <c r="T111" s="33"/>
    </row>
    <row r="112" spans="1:20" x14ac:dyDescent="0.35">
      <c r="T112" s="33"/>
    </row>
    <row r="113" spans="20:20" x14ac:dyDescent="0.35">
      <c r="T113" s="33"/>
    </row>
    <row r="114" spans="20:20" x14ac:dyDescent="0.35">
      <c r="T114" s="33"/>
    </row>
    <row r="115" spans="20:20" x14ac:dyDescent="0.35">
      <c r="T115" s="33"/>
    </row>
    <row r="116" spans="20:20" x14ac:dyDescent="0.35">
      <c r="T116" s="33"/>
    </row>
    <row r="117" spans="20:20" x14ac:dyDescent="0.35">
      <c r="T117" s="33"/>
    </row>
  </sheetData>
  <mergeCells count="12">
    <mergeCell ref="I95:O95"/>
    <mergeCell ref="I4:O4"/>
    <mergeCell ref="I12:O12"/>
    <mergeCell ref="I20:O20"/>
    <mergeCell ref="I29:O29"/>
    <mergeCell ref="I37:O37"/>
    <mergeCell ref="I45:O45"/>
    <mergeCell ref="I55:O55"/>
    <mergeCell ref="I63:O63"/>
    <mergeCell ref="I71:O71"/>
    <mergeCell ref="I79:O79"/>
    <mergeCell ref="I87:O87"/>
  </mergeCells>
  <pageMargins left="0.23622047244094491" right="0.23622047244094491" top="0.39370078740157483" bottom="0.39370078740157483" header="0.31496062992125984" footer="0.31496062992125984"/>
  <pageSetup scale="40" fitToHeight="0" orientation="portrait" r:id="rId1"/>
  <rowBreaks count="1" manualBreakCount="1">
    <brk id="51" max="16383" man="1"/>
  </rowBreaks>
  <customProperties>
    <customPr name="EpmWorksheetKeyString_GUID" r:id="rId2"/>
  </customProperties>
  <ignoredErrors>
    <ignoredError sqref="S91" formula="1"/>
  </ignoredErrors>
  <drawing r:id="rId3"/>
  <legacyDrawing r:id="rId4"/>
  <controls>
    <mc:AlternateContent xmlns:mc="http://schemas.openxmlformats.org/markup-compatibility/2006">
      <mc:Choice Requires="x14">
        <control shapeId="2049" r:id="rId5" name="FPMExcelClientSheetOptions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165100</xdr:colOff>
                <xdr:row>0</xdr:row>
                <xdr:rowOff>0</xdr:rowOff>
              </to>
            </anchor>
          </controlPr>
        </control>
      </mc:Choice>
      <mc:Fallback>
        <control shapeId="2049" r:id="rId5" name="FPMExcelClientSheetOptionstb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85EE-D056-4974-8D60-5DCB9D25427D}">
  <dimension ref="A1:I55"/>
  <sheetViews>
    <sheetView zoomScale="82" zoomScaleNormal="82" workbookViewId="0">
      <selection activeCell="P24" sqref="P24"/>
    </sheetView>
  </sheetViews>
  <sheetFormatPr baseColWidth="10" defaultRowHeight="14.5" x14ac:dyDescent="0.35"/>
  <cols>
    <col min="3" max="3" width="27.26953125" bestFit="1" customWidth="1"/>
    <col min="6" max="6" width="17.81640625" bestFit="1" customWidth="1"/>
    <col min="7" max="7" width="13.453125" bestFit="1" customWidth="1"/>
    <col min="8" max="8" width="14.7265625" bestFit="1" customWidth="1"/>
    <col min="9" max="9" width="5.54296875" bestFit="1" customWidth="1"/>
    <col min="10" max="15" width="2.26953125" bestFit="1" customWidth="1"/>
    <col min="16" max="59" width="3.26953125" bestFit="1" customWidth="1"/>
    <col min="60" max="60" width="12.54296875" bestFit="1" customWidth="1"/>
  </cols>
  <sheetData>
    <row r="1" spans="1:9" x14ac:dyDescent="0.35">
      <c r="F1" s="12" t="s">
        <v>26</v>
      </c>
      <c r="G1" t="s">
        <v>30</v>
      </c>
    </row>
    <row r="2" spans="1:9" x14ac:dyDescent="0.35">
      <c r="A2" s="13" t="s">
        <v>26</v>
      </c>
      <c r="B2" s="13" t="s">
        <v>24</v>
      </c>
      <c r="C2" s="13" t="s">
        <v>22</v>
      </c>
      <c r="D2" s="13" t="s">
        <v>25</v>
      </c>
      <c r="E2" s="13"/>
    </row>
    <row r="3" spans="1:9" x14ac:dyDescent="0.35">
      <c r="A3" t="s">
        <v>27</v>
      </c>
      <c r="B3">
        <v>1</v>
      </c>
      <c r="C3" s="11">
        <f>VLOOKUP(B3,'calendario 2021'!F5:P166,11,0)</f>
        <v>44204</v>
      </c>
      <c r="D3" t="s">
        <v>39</v>
      </c>
      <c r="F3" s="12" t="s">
        <v>51</v>
      </c>
    </row>
    <row r="4" spans="1:9" x14ac:dyDescent="0.35">
      <c r="A4" t="s">
        <v>27</v>
      </c>
      <c r="B4">
        <v>2</v>
      </c>
      <c r="C4" s="11">
        <f>VLOOKUP(B4,'calendario 2021'!F6:P167,11,0)</f>
        <v>44211</v>
      </c>
      <c r="D4" t="s">
        <v>39</v>
      </c>
      <c r="F4" s="12" t="s">
        <v>24</v>
      </c>
      <c r="G4" s="12" t="s">
        <v>22</v>
      </c>
      <c r="H4" s="12" t="s">
        <v>25</v>
      </c>
      <c r="I4" t="s">
        <v>52</v>
      </c>
    </row>
    <row r="5" spans="1:9" x14ac:dyDescent="0.35">
      <c r="A5" t="s">
        <v>27</v>
      </c>
      <c r="B5">
        <v>3</v>
      </c>
      <c r="C5" s="11">
        <f>VLOOKUP(B5,'calendario 2021'!F7:P168,11,0)</f>
        <v>44218</v>
      </c>
      <c r="D5" t="s">
        <v>39</v>
      </c>
      <c r="F5">
        <v>15</v>
      </c>
      <c r="G5" s="19" t="s">
        <v>53</v>
      </c>
      <c r="H5" t="s">
        <v>39</v>
      </c>
      <c r="I5">
        <v>1</v>
      </c>
    </row>
    <row r="6" spans="1:9" x14ac:dyDescent="0.35">
      <c r="A6" t="s">
        <v>27</v>
      </c>
      <c r="B6">
        <v>4</v>
      </c>
      <c r="C6" s="11">
        <f>VLOOKUP(B6,'calendario 2021'!F8:P169,11,0)</f>
        <v>44225</v>
      </c>
      <c r="D6" t="s">
        <v>40</v>
      </c>
      <c r="F6">
        <v>16</v>
      </c>
      <c r="G6" s="19" t="s">
        <v>54</v>
      </c>
      <c r="H6" t="s">
        <v>40</v>
      </c>
      <c r="I6">
        <v>1</v>
      </c>
    </row>
    <row r="7" spans="1:9" x14ac:dyDescent="0.35">
      <c r="A7" t="s">
        <v>27</v>
      </c>
      <c r="B7">
        <v>5</v>
      </c>
      <c r="C7" s="11">
        <f>VLOOKUP(B7,'calendario 2021'!F9:P170,11,0)</f>
        <v>44232</v>
      </c>
      <c r="D7" t="s">
        <v>40</v>
      </c>
      <c r="F7">
        <v>17</v>
      </c>
      <c r="G7" s="19" t="s">
        <v>55</v>
      </c>
      <c r="H7" t="s">
        <v>40</v>
      </c>
      <c r="I7">
        <v>1</v>
      </c>
    </row>
    <row r="8" spans="1:9" x14ac:dyDescent="0.35">
      <c r="A8" t="s">
        <v>28</v>
      </c>
      <c r="B8">
        <v>6</v>
      </c>
      <c r="C8" s="11">
        <f>VLOOKUP(B8,'calendario 2021'!F10:P171,11,0)</f>
        <v>44239</v>
      </c>
      <c r="D8" t="s">
        <v>40</v>
      </c>
      <c r="F8">
        <v>18</v>
      </c>
      <c r="G8" s="19" t="s">
        <v>56</v>
      </c>
      <c r="H8" t="s">
        <v>40</v>
      </c>
      <c r="I8">
        <v>1</v>
      </c>
    </row>
    <row r="9" spans="1:9" x14ac:dyDescent="0.35">
      <c r="A9" t="s">
        <v>28</v>
      </c>
      <c r="B9">
        <v>7</v>
      </c>
      <c r="C9" s="11">
        <f>VLOOKUP(B9,'calendario 2021'!F11:P172,11,0)</f>
        <v>44246</v>
      </c>
      <c r="D9" t="s">
        <v>43</v>
      </c>
      <c r="F9" t="s">
        <v>41</v>
      </c>
      <c r="I9">
        <v>4</v>
      </c>
    </row>
    <row r="10" spans="1:9" x14ac:dyDescent="0.35">
      <c r="A10" t="s">
        <v>28</v>
      </c>
      <c r="B10">
        <v>8</v>
      </c>
      <c r="C10" s="11">
        <f>VLOOKUP(B10,'calendario 2021'!F12:P173,11,0)</f>
        <v>44253</v>
      </c>
      <c r="D10" t="s">
        <v>43</v>
      </c>
    </row>
    <row r="11" spans="1:9" x14ac:dyDescent="0.35">
      <c r="A11" t="s">
        <v>28</v>
      </c>
      <c r="B11">
        <v>9</v>
      </c>
      <c r="C11" s="11">
        <f>VLOOKUP(B11,'calendario 2021'!F13:P174,11,0)</f>
        <v>44260</v>
      </c>
      <c r="D11" t="s">
        <v>43</v>
      </c>
    </row>
    <row r="12" spans="1:9" x14ac:dyDescent="0.35">
      <c r="A12" t="s">
        <v>29</v>
      </c>
      <c r="B12">
        <v>10</v>
      </c>
      <c r="C12" s="11">
        <f>VLOOKUP(B12,'calendario 2021'!F14:P175,11,0)</f>
        <v>44267</v>
      </c>
      <c r="D12" t="s">
        <v>42</v>
      </c>
    </row>
    <row r="13" spans="1:9" x14ac:dyDescent="0.35">
      <c r="A13" t="s">
        <v>29</v>
      </c>
      <c r="B13">
        <v>11</v>
      </c>
      <c r="C13" s="11">
        <f>VLOOKUP(B13,'calendario 2021'!F15:P176,11,0)</f>
        <v>44274</v>
      </c>
      <c r="D13" t="s">
        <v>42</v>
      </c>
    </row>
    <row r="14" spans="1:9" x14ac:dyDescent="0.35">
      <c r="A14" t="s">
        <v>29</v>
      </c>
      <c r="B14">
        <v>12</v>
      </c>
      <c r="C14" s="11">
        <f>VLOOKUP(B14,'calendario 2021'!F16:P177,11,0)</f>
        <v>44281</v>
      </c>
      <c r="D14" t="s">
        <v>42</v>
      </c>
    </row>
    <row r="15" spans="1:9" x14ac:dyDescent="0.35">
      <c r="A15" t="s">
        <v>29</v>
      </c>
      <c r="B15">
        <v>13</v>
      </c>
      <c r="C15" s="11">
        <f>VLOOKUP(B15,'calendario 2021'!F17:P178,11,0)</f>
        <v>44287</v>
      </c>
      <c r="D15" t="s">
        <v>39</v>
      </c>
    </row>
    <row r="16" spans="1:9" x14ac:dyDescent="0.35">
      <c r="A16" t="s">
        <v>29</v>
      </c>
      <c r="B16">
        <v>14</v>
      </c>
      <c r="C16" s="11">
        <f>VLOOKUP(B16,'calendario 2021'!F18:P179,11,0)</f>
        <v>44295</v>
      </c>
      <c r="D16" t="s">
        <v>39</v>
      </c>
    </row>
    <row r="17" spans="1:4" x14ac:dyDescent="0.35">
      <c r="A17" t="s">
        <v>30</v>
      </c>
      <c r="B17">
        <v>15</v>
      </c>
      <c r="C17" s="11">
        <f>VLOOKUP(B17,'calendario 2021'!F18:P180,11,0)</f>
        <v>44302</v>
      </c>
      <c r="D17" t="s">
        <v>39</v>
      </c>
    </row>
    <row r="18" spans="1:4" x14ac:dyDescent="0.35">
      <c r="A18" t="s">
        <v>30</v>
      </c>
      <c r="B18">
        <v>16</v>
      </c>
      <c r="C18" s="11">
        <f>VLOOKUP(B18,'calendario 2021'!F19:P181,11,0)</f>
        <v>44309</v>
      </c>
      <c r="D18" t="s">
        <v>40</v>
      </c>
    </row>
    <row r="19" spans="1:4" x14ac:dyDescent="0.35">
      <c r="A19" t="s">
        <v>30</v>
      </c>
      <c r="B19">
        <v>17</v>
      </c>
      <c r="C19" s="11">
        <f>VLOOKUP(B19,'calendario 2021'!F20:P182,11,0)</f>
        <v>44316</v>
      </c>
      <c r="D19" t="s">
        <v>40</v>
      </c>
    </row>
    <row r="20" spans="1:4" x14ac:dyDescent="0.35">
      <c r="A20" t="s">
        <v>30</v>
      </c>
      <c r="B20">
        <v>18</v>
      </c>
      <c r="C20" s="11">
        <f>VLOOKUP(B20,'calendario 2021'!F21:P183,11,0)</f>
        <v>44323</v>
      </c>
      <c r="D20" t="s">
        <v>40</v>
      </c>
    </row>
    <row r="21" spans="1:4" x14ac:dyDescent="0.35">
      <c r="A21" t="s">
        <v>31</v>
      </c>
      <c r="B21">
        <v>19</v>
      </c>
      <c r="C21" s="11">
        <f>VLOOKUP(B21,'calendario 2021'!F22:P184,11,0)</f>
        <v>44330</v>
      </c>
      <c r="D21" t="s">
        <v>43</v>
      </c>
    </row>
    <row r="22" spans="1:4" x14ac:dyDescent="0.35">
      <c r="A22" t="s">
        <v>31</v>
      </c>
      <c r="B22">
        <v>20</v>
      </c>
      <c r="C22" s="11">
        <f>VLOOKUP(B22,'calendario 2021'!F23:P185,11,0)</f>
        <v>44336</v>
      </c>
      <c r="D22" t="s">
        <v>43</v>
      </c>
    </row>
    <row r="23" spans="1:4" x14ac:dyDescent="0.35">
      <c r="A23" t="s">
        <v>31</v>
      </c>
      <c r="B23">
        <v>21</v>
      </c>
      <c r="C23" s="11">
        <f>VLOOKUP(B23,'calendario 2021'!F24:P186,11,0)</f>
        <v>44344</v>
      </c>
      <c r="D23" t="s">
        <v>43</v>
      </c>
    </row>
    <row r="24" spans="1:4" x14ac:dyDescent="0.35">
      <c r="A24" t="s">
        <v>31</v>
      </c>
      <c r="B24">
        <v>22</v>
      </c>
      <c r="C24" s="11">
        <f>VLOOKUP(B24,'calendario 2021'!F25:P187,11,0)</f>
        <v>44351</v>
      </c>
      <c r="D24" t="s">
        <v>42</v>
      </c>
    </row>
    <row r="25" spans="1:4" x14ac:dyDescent="0.35">
      <c r="A25" t="s">
        <v>32</v>
      </c>
      <c r="B25">
        <v>23</v>
      </c>
      <c r="C25" s="11">
        <f>VLOOKUP(B25,'calendario 2021'!F26:P188,11,0)</f>
        <v>44358</v>
      </c>
      <c r="D25" t="s">
        <v>42</v>
      </c>
    </row>
    <row r="26" spans="1:4" x14ac:dyDescent="0.35">
      <c r="A26" t="s">
        <v>32</v>
      </c>
      <c r="B26">
        <v>24</v>
      </c>
      <c r="C26" s="11">
        <f>VLOOKUP(B26,'calendario 2021'!F27:P189,11,0)</f>
        <v>44365</v>
      </c>
      <c r="D26" t="s">
        <v>42</v>
      </c>
    </row>
    <row r="27" spans="1:4" x14ac:dyDescent="0.35">
      <c r="A27" t="s">
        <v>32</v>
      </c>
      <c r="B27">
        <v>25</v>
      </c>
      <c r="C27" s="11">
        <f>VLOOKUP(B27,'calendario 2021'!F28:P190,11,0)</f>
        <v>44372</v>
      </c>
      <c r="D27" t="s">
        <v>39</v>
      </c>
    </row>
    <row r="28" spans="1:4" x14ac:dyDescent="0.35">
      <c r="A28" t="s">
        <v>32</v>
      </c>
      <c r="B28">
        <v>26</v>
      </c>
      <c r="C28" s="11">
        <f>VLOOKUP(B28,'calendario 2021'!F29:P191,11,0)</f>
        <v>0</v>
      </c>
      <c r="D28" t="s">
        <v>39</v>
      </c>
    </row>
    <row r="29" spans="1:4" x14ac:dyDescent="0.35">
      <c r="A29" t="s">
        <v>32</v>
      </c>
      <c r="B29">
        <v>27</v>
      </c>
      <c r="C29" s="11">
        <f>VLOOKUP(B29,'calendario 2021'!F30:P192,11,0)</f>
        <v>44386</v>
      </c>
      <c r="D29" t="s">
        <v>39</v>
      </c>
    </row>
    <row r="30" spans="1:4" x14ac:dyDescent="0.35">
      <c r="A30" t="s">
        <v>33</v>
      </c>
      <c r="B30">
        <v>28</v>
      </c>
      <c r="C30" s="11">
        <f>VLOOKUP(B30,'calendario 2021'!F31:P193,11,0)</f>
        <v>44392</v>
      </c>
      <c r="D30" t="s">
        <v>40</v>
      </c>
    </row>
    <row r="31" spans="1:4" x14ac:dyDescent="0.35">
      <c r="A31" t="s">
        <v>33</v>
      </c>
      <c r="B31">
        <v>29</v>
      </c>
      <c r="C31" s="11">
        <f>VLOOKUP(B31,'calendario 2021'!F32:P194,11,0)</f>
        <v>44400</v>
      </c>
      <c r="D31" t="s">
        <v>40</v>
      </c>
    </row>
    <row r="32" spans="1:4" x14ac:dyDescent="0.35">
      <c r="A32" t="s">
        <v>33</v>
      </c>
      <c r="B32">
        <v>30</v>
      </c>
      <c r="C32" s="11">
        <f>VLOOKUP(B32,'calendario 2021'!F33:P195,11,0)</f>
        <v>44407</v>
      </c>
      <c r="D32" t="s">
        <v>40</v>
      </c>
    </row>
    <row r="33" spans="1:4" x14ac:dyDescent="0.35">
      <c r="A33" t="s">
        <v>33</v>
      </c>
      <c r="B33">
        <v>31</v>
      </c>
      <c r="C33" s="11">
        <f>VLOOKUP(B33,'calendario 2021'!F34:P196,11,0)</f>
        <v>44414</v>
      </c>
      <c r="D33" t="s">
        <v>43</v>
      </c>
    </row>
    <row r="34" spans="1:4" x14ac:dyDescent="0.35">
      <c r="A34" t="s">
        <v>34</v>
      </c>
      <c r="B34">
        <v>32</v>
      </c>
      <c r="C34" s="11">
        <f>VLOOKUP(B34,'calendario 2021'!F35:P197,11,0)</f>
        <v>44421</v>
      </c>
      <c r="D34" t="s">
        <v>43</v>
      </c>
    </row>
    <row r="35" spans="1:4" x14ac:dyDescent="0.35">
      <c r="A35" t="s">
        <v>34</v>
      </c>
      <c r="B35">
        <v>33</v>
      </c>
      <c r="C35" s="11">
        <f>VLOOKUP(B35,'calendario 2021'!F36:P198,11,0)</f>
        <v>44428</v>
      </c>
      <c r="D35" t="s">
        <v>43</v>
      </c>
    </row>
    <row r="36" spans="1:4" x14ac:dyDescent="0.35">
      <c r="A36" t="s">
        <v>34</v>
      </c>
      <c r="B36">
        <v>34</v>
      </c>
      <c r="C36" s="11">
        <f>VLOOKUP(B36,'calendario 2021'!F37:P199,11,0)</f>
        <v>44435</v>
      </c>
      <c r="D36" t="s">
        <v>42</v>
      </c>
    </row>
    <row r="37" spans="1:4" x14ac:dyDescent="0.35">
      <c r="A37" t="s">
        <v>34</v>
      </c>
      <c r="B37">
        <v>35</v>
      </c>
      <c r="C37" s="11">
        <f>VLOOKUP(B37,'calendario 2021'!F38:P200,11,0)</f>
        <v>0</v>
      </c>
      <c r="D37" t="s">
        <v>42</v>
      </c>
    </row>
    <row r="38" spans="1:4" x14ac:dyDescent="0.35">
      <c r="A38" t="s">
        <v>34</v>
      </c>
      <c r="B38">
        <v>36</v>
      </c>
      <c r="C38" s="11">
        <f>VLOOKUP(B38,'calendario 2021'!F39:P201,11,0)</f>
        <v>44449</v>
      </c>
      <c r="D38" t="s">
        <v>42</v>
      </c>
    </row>
    <row r="39" spans="1:4" x14ac:dyDescent="0.35">
      <c r="A39" t="s">
        <v>35</v>
      </c>
      <c r="B39">
        <v>37</v>
      </c>
      <c r="C39" s="11">
        <f>VLOOKUP(B39,'calendario 2021'!F40:P202,11,0)</f>
        <v>44456</v>
      </c>
      <c r="D39" t="s">
        <v>39</v>
      </c>
    </row>
    <row r="40" spans="1:4" x14ac:dyDescent="0.35">
      <c r="A40" t="s">
        <v>35</v>
      </c>
      <c r="B40">
        <v>38</v>
      </c>
      <c r="C40" s="11">
        <f>VLOOKUP(B40,'calendario 2021'!F41:P203,11,0)</f>
        <v>44463</v>
      </c>
      <c r="D40" t="s">
        <v>39</v>
      </c>
    </row>
    <row r="41" spans="1:4" x14ac:dyDescent="0.35">
      <c r="A41" t="s">
        <v>35</v>
      </c>
      <c r="B41">
        <v>39</v>
      </c>
      <c r="C41" s="11">
        <f>VLOOKUP(B41,'calendario 2021'!F42:P204,11,0)</f>
        <v>0</v>
      </c>
      <c r="D41" t="s">
        <v>39</v>
      </c>
    </row>
    <row r="42" spans="1:4" x14ac:dyDescent="0.35">
      <c r="A42" t="s">
        <v>35</v>
      </c>
      <c r="B42">
        <v>40</v>
      </c>
      <c r="C42" s="11">
        <f>VLOOKUP(B42,'calendario 2021'!F44:P205,11,0)</f>
        <v>44477</v>
      </c>
      <c r="D42" t="s">
        <v>40</v>
      </c>
    </row>
    <row r="43" spans="1:4" x14ac:dyDescent="0.35">
      <c r="A43" t="s">
        <v>36</v>
      </c>
      <c r="B43">
        <v>41</v>
      </c>
      <c r="C43" s="11">
        <f>VLOOKUP(B43,'calendario 2021'!F45:P206,11,0)</f>
        <v>44484</v>
      </c>
      <c r="D43" t="s">
        <v>40</v>
      </c>
    </row>
    <row r="44" spans="1:4" x14ac:dyDescent="0.35">
      <c r="A44" t="s">
        <v>36</v>
      </c>
      <c r="B44">
        <v>42</v>
      </c>
      <c r="C44" s="11">
        <f>VLOOKUP(B44,'calendario 2021'!F46:P207,11,0)</f>
        <v>44491</v>
      </c>
      <c r="D44" t="s">
        <v>40</v>
      </c>
    </row>
    <row r="45" spans="1:4" x14ac:dyDescent="0.35">
      <c r="A45" t="s">
        <v>36</v>
      </c>
      <c r="B45">
        <v>43</v>
      </c>
      <c r="C45" s="11">
        <f>VLOOKUP(B45,'calendario 2021'!F47:P208,11,0)</f>
        <v>44498</v>
      </c>
      <c r="D45" t="s">
        <v>43</v>
      </c>
    </row>
    <row r="46" spans="1:4" x14ac:dyDescent="0.35">
      <c r="A46" t="s">
        <v>36</v>
      </c>
      <c r="B46">
        <v>44</v>
      </c>
      <c r="C46" s="11">
        <f>VLOOKUP(B46,'calendario 2021'!F48:P209,11,0)</f>
        <v>44505</v>
      </c>
      <c r="D46" t="s">
        <v>43</v>
      </c>
    </row>
    <row r="47" spans="1:4" x14ac:dyDescent="0.35">
      <c r="A47" t="s">
        <v>37</v>
      </c>
      <c r="B47">
        <v>45</v>
      </c>
      <c r="C47" s="11">
        <f>VLOOKUP(B47,'calendario 2021'!F49:P210,11,0)</f>
        <v>44512</v>
      </c>
      <c r="D47" t="s">
        <v>43</v>
      </c>
    </row>
    <row r="48" spans="1:4" x14ac:dyDescent="0.35">
      <c r="A48" t="s">
        <v>37</v>
      </c>
      <c r="B48">
        <v>46</v>
      </c>
      <c r="C48" s="11">
        <f>VLOOKUP(B48,'calendario 2021'!F50:P211,11,0)</f>
        <v>44519</v>
      </c>
      <c r="D48" t="s">
        <v>42</v>
      </c>
    </row>
    <row r="49" spans="1:4" x14ac:dyDescent="0.35">
      <c r="A49" t="s">
        <v>37</v>
      </c>
      <c r="B49">
        <v>47</v>
      </c>
      <c r="C49" s="11">
        <f>VLOOKUP(B49,'calendario 2021'!F51:P212,11,0)</f>
        <v>44526</v>
      </c>
      <c r="D49" t="s">
        <v>42</v>
      </c>
    </row>
    <row r="50" spans="1:4" x14ac:dyDescent="0.35">
      <c r="A50" t="s">
        <v>37</v>
      </c>
      <c r="B50">
        <v>48</v>
      </c>
      <c r="C50" s="11">
        <f>VLOOKUP(B50,'calendario 2021'!F52:P213,11,0)</f>
        <v>0</v>
      </c>
      <c r="D50" t="s">
        <v>42</v>
      </c>
    </row>
    <row r="51" spans="1:4" x14ac:dyDescent="0.35">
      <c r="A51" t="s">
        <v>37</v>
      </c>
      <c r="B51">
        <v>49</v>
      </c>
      <c r="C51" s="11">
        <f>VLOOKUP(B51,'calendario 2021'!F56:P214,11,0)</f>
        <v>44540</v>
      </c>
      <c r="D51" t="s">
        <v>39</v>
      </c>
    </row>
    <row r="52" spans="1:4" x14ac:dyDescent="0.35">
      <c r="A52" t="s">
        <v>38</v>
      </c>
      <c r="B52">
        <v>50</v>
      </c>
      <c r="C52" s="11">
        <f>VLOOKUP(B52,'calendario 2021'!F57:P215,11,0)</f>
        <v>44547</v>
      </c>
      <c r="D52" t="s">
        <v>39</v>
      </c>
    </row>
    <row r="53" spans="1:4" x14ac:dyDescent="0.35">
      <c r="A53" t="s">
        <v>38</v>
      </c>
      <c r="B53">
        <v>51</v>
      </c>
      <c r="C53" s="11">
        <f>VLOOKUP(B53,'calendario 2021'!F58:P216,11,0)</f>
        <v>44554</v>
      </c>
      <c r="D53" t="s">
        <v>39</v>
      </c>
    </row>
    <row r="54" spans="1:4" x14ac:dyDescent="0.35">
      <c r="A54" t="s">
        <v>38</v>
      </c>
      <c r="B54">
        <v>52</v>
      </c>
      <c r="C54" s="11">
        <f>VLOOKUP(B54,'calendario 2021'!F59:P217,11,0)</f>
        <v>44561</v>
      </c>
      <c r="D54" t="s">
        <v>40</v>
      </c>
    </row>
    <row r="55" spans="1:4" x14ac:dyDescent="0.35">
      <c r="A55" t="s">
        <v>38</v>
      </c>
      <c r="B55">
        <v>53</v>
      </c>
      <c r="C55" s="11" t="e">
        <f>VLOOKUP(B55,'calendario 2021'!F60:P218,11,0)</f>
        <v>#N/A</v>
      </c>
      <c r="D55" t="s">
        <v>40</v>
      </c>
    </row>
  </sheetData>
  <autoFilter ref="A2:D55" xr:uid="{9A177AC4-613E-4D8C-BAB4-F24447B29950}"/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8265-5d49-4303-8d6c-a3e3dc13898a">
      <Terms xmlns="http://schemas.microsoft.com/office/infopath/2007/PartnerControls"/>
    </lcf76f155ced4ddcb4097134ff3c332f>
    <TaxCatchAll xmlns="70b3a8a4-10f1-4453-b557-059c8aa2e01d" xsi:nil="true"/>
    <_Flow_SignoffStatus xmlns="36cf8265-5d49-4303-8d6c-a3e3dc138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26C5234A12E419316CB59C6D7D393" ma:contentTypeVersion="18" ma:contentTypeDescription="Crear nuevo documento." ma:contentTypeScope="" ma:versionID="b53fa7be3030560a3debdd7abaf626d5">
  <xsd:schema xmlns:xsd="http://www.w3.org/2001/XMLSchema" xmlns:xs="http://www.w3.org/2001/XMLSchema" xmlns:p="http://schemas.microsoft.com/office/2006/metadata/properties" xmlns:ns2="36cf8265-5d49-4303-8d6c-a3e3dc13898a" xmlns:ns3="70b3a8a4-10f1-4453-b557-059c8aa2e01d" targetNamespace="http://schemas.microsoft.com/office/2006/metadata/properties" ma:root="true" ma:fieldsID="9f9a576095bf226b167e08e8482324ea" ns2:_="" ns3:_="">
    <xsd:import namespace="36cf8265-5d49-4303-8d6c-a3e3dc13898a"/>
    <xsd:import namespace="70b3a8a4-10f1-4453-b557-059c8aa2e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8265-5d49-4303-8d6c-a3e3dc13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a8a4-10f1-4453-b557-059c8aa2e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5e2b83-9782-4f43-8d11-a6fa2c729795}" ma:internalName="TaxCatchAll" ma:showField="CatchAllData" ma:web="70b3a8a4-10f1-4453-b557-059c8aa2e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ED16C8-9A0B-4F8D-8C87-DB79587E909F}">
  <ds:schemaRefs>
    <ds:schemaRef ds:uri="http://schemas.microsoft.com/office/2006/metadata/properties"/>
    <ds:schemaRef ds:uri="http://schemas.microsoft.com/office/infopath/2007/PartnerControls"/>
    <ds:schemaRef ds:uri="36cf8265-5d49-4303-8d6c-a3e3dc13898a"/>
    <ds:schemaRef ds:uri="70b3a8a4-10f1-4453-b557-059c8aa2e01d"/>
  </ds:schemaRefs>
</ds:datastoreItem>
</file>

<file path=customXml/itemProps2.xml><?xml version="1.0" encoding="utf-8"?>
<ds:datastoreItem xmlns:ds="http://schemas.openxmlformats.org/officeDocument/2006/customXml" ds:itemID="{096EFB29-91B5-4759-A3C4-1334E445E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8265-5d49-4303-8d6c-a3e3dc13898a"/>
    <ds:schemaRef ds:uri="70b3a8a4-10f1-4453-b557-059c8aa2e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2B6C16-CB85-42B4-926C-8DE289F773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calendario 2021</vt:lpstr>
      <vt:lpstr>Calendario 2026</vt:lpstr>
      <vt:lpstr>Programación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Fuentes Oyarzo</dc:creator>
  <cp:lastModifiedBy>Martin Contreras Aguayo</cp:lastModifiedBy>
  <cp:lastPrinted>2023-12-29T15:13:21Z</cp:lastPrinted>
  <dcterms:created xsi:type="dcterms:W3CDTF">2019-12-05T15:48:24Z</dcterms:created>
  <dcterms:modified xsi:type="dcterms:W3CDTF">2026-04-27T13:36:41Z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9e454d92-1c43-497c-a57d-712870b2c8ce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0x010100CAB26C5234A12E419316CB59C6D7D393</vt:lpwstr>
  </property>
  <property fmtid="{D5CDD505-2E9C-101B-9397-08002B2CF9AE}" pid="6" name="MediaServiceImageTags">
    <vt:lpwstr/>
  </property>
</Properties>
</file>